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2206E493-31A6-4B02-BBB0-DE289F3D668E}" xr6:coauthVersionLast="36" xr6:coauthVersionMax="36" xr10:uidLastSave="{00000000-0000-0000-0000-000000000000}"/>
  <bookViews>
    <workbookView xWindow="-105" yWindow="-105" windowWidth="23250" windowHeight="12450" tabRatio="906" activeTab="7" xr2:uid="{00000000-000D-0000-FFFF-FFFF00000000}"/>
  </bookViews>
  <sheets>
    <sheet name="E1 - P1" sheetId="4" r:id="rId1"/>
    <sheet name="E1 - P2" sheetId="2" r:id="rId2"/>
    <sheet name="E1 - P3" sheetId="3" r:id="rId3"/>
    <sheet name="E2 - P1" sheetId="7" r:id="rId4"/>
    <sheet name="E2 - P2" sheetId="8" r:id="rId5"/>
    <sheet name="E2 - P3" sheetId="1" r:id="rId6"/>
    <sheet name="E2 - P4" sheetId="5" r:id="rId7"/>
    <sheet name="E2 - P5" sheetId="6" r:id="rId8"/>
  </sheets>
  <definedNames>
    <definedName name="_xlnm.Print_Area" localSheetId="2">'E1 - P3'!$A$1:$G$28</definedName>
    <definedName name="_xlnm.Print_Area" localSheetId="3">'E2 - P1'!$A$1:$G$35</definedName>
    <definedName name="_xlnm.Print_Area" localSheetId="6">'E2 - P4'!$A$1:$G$29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8" l="1"/>
  <c r="G10" i="8"/>
  <c r="B28" i="8" s="1"/>
  <c r="F24" i="7" l="1"/>
  <c r="F23" i="7"/>
  <c r="F22" i="7"/>
  <c r="F21" i="7"/>
  <c r="D5" i="2" l="1"/>
  <c r="G4" i="2"/>
  <c r="F4" i="3" s="1"/>
  <c r="D5" i="3" l="1"/>
  <c r="A24" i="3" s="1"/>
  <c r="G4" i="7"/>
  <c r="G4" i="8" s="1"/>
  <c r="G4" i="1" s="1"/>
  <c r="G4" i="5" s="1"/>
  <c r="E5" i="6" s="1"/>
  <c r="E4" i="2"/>
  <c r="D4" i="3" s="1"/>
  <c r="E4" i="7" s="1"/>
  <c r="D4" i="8" s="1"/>
  <c r="A20" i="4"/>
  <c r="G24" i="7"/>
  <c r="G23" i="7"/>
  <c r="G22" i="7"/>
  <c r="G21" i="7"/>
  <c r="D5" i="7" l="1"/>
  <c r="D5" i="8" s="1"/>
  <c r="D5" i="1" s="1"/>
  <c r="D5" i="5" s="1"/>
  <c r="D5" i="6" s="1"/>
  <c r="A20" i="6" s="1"/>
  <c r="E4" i="1"/>
  <c r="E4" i="5" s="1"/>
  <c r="D4" i="6" s="1"/>
  <c r="A30" i="2"/>
  <c r="E16" i="8"/>
  <c r="F16" i="8" s="1"/>
  <c r="A27" i="5" l="1"/>
  <c r="A22" i="1"/>
  <c r="E28" i="8"/>
  <c r="F29" i="7"/>
  <c r="E17" i="8"/>
  <c r="F17" i="8" s="1"/>
  <c r="E18" i="8" s="1"/>
  <c r="F18" i="8" s="1"/>
  <c r="E19" i="8" s="1"/>
  <c r="F17" i="7"/>
  <c r="G17" i="7" s="1"/>
  <c r="B29" i="7"/>
  <c r="F18" i="7" l="1"/>
  <c r="G18" i="7" s="1"/>
  <c r="F19" i="7" s="1"/>
  <c r="G19" i="7" s="1"/>
  <c r="F20" i="7" l="1"/>
  <c r="G20" i="7" s="1"/>
  <c r="F19" i="8"/>
  <c r="E20" i="8" l="1"/>
  <c r="F20" i="8" s="1"/>
  <c r="E21" i="8" s="1"/>
  <c r="F21" i="8" s="1"/>
  <c r="E22" i="8" s="1"/>
  <c r="F22" i="8" s="1"/>
  <c r="E23" i="8" s="1"/>
  <c r="F2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Gisela Baena</author>
  </authors>
  <commentList>
    <comment ref="B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Gisela Baena:</t>
        </r>
        <r>
          <rPr>
            <sz val="9"/>
            <color indexed="81"/>
            <rFont val="Tahoma"/>
            <family val="2"/>
          </rPr>
          <t xml:space="preserve">
Se refiere al Articulo que se registra, por ejemplo LAPTOP, ANTENA
</t>
        </r>
      </text>
    </comment>
    <comment ref="E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Gisela Baena:</t>
        </r>
        <r>
          <rPr>
            <sz val="9"/>
            <color indexed="81"/>
            <rFont val="Tahoma"/>
            <family val="2"/>
          </rPr>
          <t xml:space="preserve">
Se refiere a si es de escritorio, inhalambrico, LCD</t>
        </r>
      </text>
    </comment>
    <comment ref="F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Gisela Baena:</t>
        </r>
        <r>
          <rPr>
            <sz val="9"/>
            <color indexed="81"/>
            <rFont val="Tahoma"/>
            <family val="2"/>
          </rPr>
          <t xml:space="preserve">
En caso de Discos duros, monitores (pulgadas y resolución)</t>
        </r>
      </text>
    </comment>
    <comment ref="G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Gisela Baena:</t>
        </r>
        <r>
          <rPr>
            <sz val="9"/>
            <color indexed="81"/>
            <rFont val="Tahoma"/>
            <family val="2"/>
          </rPr>
          <t xml:space="preserve">
Regular, Excelente, Baja, Mantenimiento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Gisela Baena</author>
  </authors>
  <commentList>
    <comment ref="B1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Gisela Baena:</t>
        </r>
        <r>
          <rPr>
            <sz val="9"/>
            <color indexed="81"/>
            <rFont val="Tahoma"/>
            <family val="2"/>
          </rPr>
          <t xml:space="preserve">
Ejemplo: cisco 2911/k19
</t>
        </r>
      </text>
    </comment>
    <comment ref="F1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Gisela Baena:</t>
        </r>
        <r>
          <rPr>
            <sz val="9"/>
            <color indexed="81"/>
            <rFont val="Tahoma"/>
            <family val="2"/>
          </rPr>
          <t xml:space="preserve">
Gateway</t>
        </r>
      </text>
    </comment>
    <comment ref="G1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Gisela Baena: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</author>
  </authors>
  <commentList>
    <comment ref="C10" authorId="0" shapeId="0" xr:uid="{829503B2-F156-4503-8540-8C3956059231}">
      <text>
        <r>
          <rPr>
            <b/>
            <sz val="9"/>
            <color indexed="81"/>
            <rFont val="Tahoma"/>
            <family val="2"/>
          </rPr>
          <t>Coloca una fecha que esté 3 o 4 meses posteriores a la fecha de elaboración.
Formato DD/MMM/AA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</author>
  </authors>
  <commentList>
    <comment ref="C10" authorId="0" shapeId="0" xr:uid="{CCF606A6-1A2D-4AD7-8A34-C504E1604249}">
      <text>
        <r>
          <rPr>
            <b/>
            <sz val="9"/>
            <color indexed="81"/>
            <rFont val="Tahoma"/>
            <family val="2"/>
          </rPr>
          <t xml:space="preserve">Coloca una fecha  3 o 4 meses posteriores a la fecha de elaboración. Formato DD/MMM/AA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Gisela Baena</author>
  </authors>
  <commentList>
    <comment ref="B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Gisela Baena:</t>
        </r>
        <r>
          <rPr>
            <sz val="9"/>
            <color indexed="81"/>
            <rFont val="Tahoma"/>
            <family val="2"/>
          </rPr>
          <t xml:space="preserve">
Se refiere al Articulo que se registra, por ejemplo LAPTOP, ANTENA
</t>
        </r>
      </text>
    </comment>
    <comment ref="E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Gisela Baena:</t>
        </r>
        <r>
          <rPr>
            <sz val="9"/>
            <color indexed="81"/>
            <rFont val="Tahoma"/>
            <family val="2"/>
          </rPr>
          <t xml:space="preserve">
inhalambrica, bluetooth
</t>
        </r>
      </text>
    </comment>
    <comment ref="F7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Gisela Baena:</t>
        </r>
        <r>
          <rPr>
            <sz val="9"/>
            <color indexed="81"/>
            <rFont val="Tahoma"/>
            <family val="2"/>
          </rPr>
          <t xml:space="preserve">
En caso de Discos duros, monitores (pulgadas y resolución)</t>
        </r>
      </text>
    </comment>
    <comment ref="G7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Gisela Baena:</t>
        </r>
        <r>
          <rPr>
            <sz val="9"/>
            <color indexed="81"/>
            <rFont val="Tahoma"/>
            <family val="2"/>
          </rPr>
          <t xml:space="preserve">
Regular, Excelente, Baja, Mantenimiento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Gisela Baena</author>
  </authors>
  <commentList>
    <comment ref="F14" authorId="0" shapeId="0" xr:uid="{3115B841-DEA3-46A5-8AB4-0D9EBED3097F}">
      <text>
        <r>
          <rPr>
            <b/>
            <sz val="9"/>
            <color indexed="81"/>
            <rFont val="Tahoma"/>
            <family val="2"/>
          </rPr>
          <t>Gisela Baena:</t>
        </r>
        <r>
          <rPr>
            <sz val="9"/>
            <color indexed="81"/>
            <rFont val="Tahoma"/>
            <family val="2"/>
          </rPr>
          <t xml:space="preserve">
Gateway</t>
        </r>
      </text>
    </comment>
    <comment ref="G14" authorId="0" shapeId="0" xr:uid="{73E89331-B7FC-4A7C-B331-573EA0BD51D5}">
      <text>
        <r>
          <rPr>
            <b/>
            <sz val="9"/>
            <color indexed="81"/>
            <rFont val="Tahoma"/>
            <family val="2"/>
          </rPr>
          <t>Gisela Baena: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Gisela Baena</author>
  </authors>
  <commentList>
    <comment ref="B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Gisela Baena:</t>
        </r>
        <r>
          <rPr>
            <sz val="9"/>
            <color indexed="81"/>
            <rFont val="Tahoma"/>
            <family val="2"/>
          </rPr>
          <t xml:space="preserve">
Ejemplo: cisco 2911/k19
</t>
        </r>
      </text>
    </comment>
  </commentList>
</comments>
</file>

<file path=xl/sharedStrings.xml><?xml version="1.0" encoding="utf-8"?>
<sst xmlns="http://schemas.openxmlformats.org/spreadsheetml/2006/main" count="338" uniqueCount="172">
  <si>
    <t>No.</t>
  </si>
  <si>
    <t>No</t>
  </si>
  <si>
    <t>Nombre</t>
  </si>
  <si>
    <t>No. de Serie</t>
  </si>
  <si>
    <t>Modelo</t>
  </si>
  <si>
    <t>Tipo</t>
  </si>
  <si>
    <t>Capacidad</t>
  </si>
  <si>
    <t>Estado Operativo</t>
  </si>
  <si>
    <t>UNIDAD DE ADSCRIPCIÓN:</t>
  </si>
  <si>
    <t>NOMBRE DEL RESPONSABLE:</t>
  </si>
  <si>
    <t>Nombre y firma de quien levanta el inventario</t>
  </si>
  <si>
    <t>Nombre del Equipo</t>
  </si>
  <si>
    <t>Grupo de Trabajo/dominio</t>
  </si>
  <si>
    <t>IP del Sistema</t>
  </si>
  <si>
    <t>Mascara de Subred</t>
  </si>
  <si>
    <t>DNS</t>
  </si>
  <si>
    <t>Nombre y firma de quien realiza el informe</t>
  </si>
  <si>
    <t>Acciones correctivas/preventivas recomendadas</t>
  </si>
  <si>
    <t>Justificación</t>
  </si>
  <si>
    <t>Nombre y firma del Responsable</t>
  </si>
  <si>
    <t>IP de red</t>
  </si>
  <si>
    <t>Estado actual de la configuración del sistema:</t>
  </si>
  <si>
    <t>Proceso para acceso al BIOS:</t>
  </si>
  <si>
    <t>Cronograma de actividades</t>
  </si>
  <si>
    <t>Actividad</t>
  </si>
  <si>
    <t>Duración (días)</t>
  </si>
  <si>
    <t>Fecha inicio</t>
  </si>
  <si>
    <t>Fecha final</t>
  </si>
  <si>
    <t>Lugar:</t>
  </si>
  <si>
    <t>Fecha:</t>
  </si>
  <si>
    <t>Alcance del proyecto:</t>
  </si>
  <si>
    <t>Nombre del proyecto:</t>
  </si>
  <si>
    <t>Empresa solicitante:</t>
  </si>
  <si>
    <t>Mejora de la red LAN</t>
  </si>
  <si>
    <t>Estado actual de la red LAN:</t>
  </si>
  <si>
    <t>Requerimientos</t>
  </si>
  <si>
    <t>Descripción</t>
  </si>
  <si>
    <t>Nombre y firma del encargado del proyecto</t>
  </si>
  <si>
    <t xml:space="preserve">Autorización del proyecto </t>
  </si>
  <si>
    <t>Plan de construcción de la red LAN</t>
  </si>
  <si>
    <t>Recursos a utilizar</t>
  </si>
  <si>
    <t>Informe de configuración del sistema</t>
  </si>
  <si>
    <t xml:space="preserve">Bitácora de diagnóstico del equipo de cómputo </t>
  </si>
  <si>
    <t>Plan de proyección para la mejora de la red LAN</t>
  </si>
  <si>
    <t xml:space="preserve">Inventario de los componentes de la red y su estado funcional </t>
  </si>
  <si>
    <t xml:space="preserve">Informe de configuración de los nodos de la red </t>
  </si>
  <si>
    <t>Informe de configuración del grupo de trabajo de la red</t>
  </si>
  <si>
    <t>Representante de la empresa:</t>
  </si>
  <si>
    <t>Requerimientos:</t>
  </si>
  <si>
    <t>Nombre del equipo</t>
  </si>
  <si>
    <t>Grupo de Trabajo / dominio</t>
  </si>
  <si>
    <t>Puerta de enlace</t>
  </si>
  <si>
    <t>NOMBRE DEL RESPONSABLE</t>
  </si>
  <si>
    <t xml:space="preserve">REPORTE NO. </t>
  </si>
  <si>
    <t>Descripción del equipo:</t>
  </si>
  <si>
    <t>Informe de inventario de los componentes del equipo de cómputo</t>
  </si>
  <si>
    <t>Pasos para acceder a la administración de los equipos</t>
  </si>
  <si>
    <t>CPU</t>
  </si>
  <si>
    <t>Monitor</t>
  </si>
  <si>
    <t>Teclado</t>
  </si>
  <si>
    <t>Mouse</t>
  </si>
  <si>
    <t>255.255.255.0</t>
  </si>
  <si>
    <t>192.168.1.254</t>
  </si>
  <si>
    <t>8.8.8.8</t>
  </si>
  <si>
    <t>Elaboracion de cables de acuerdo al diseño del CC2</t>
  </si>
  <si>
    <t>Extraccion y elaboracion 
del nuevo cable de red</t>
  </si>
  <si>
    <t>Torre</t>
  </si>
  <si>
    <t>N/A</t>
  </si>
  <si>
    <t>AL ENCENDER LA PC PRESIONAR LOS BOTONES F10 O F12 SEGÚN EL MODELO</t>
  </si>
  <si>
    <t xml:space="preserve">ORDEN DE ARRANQUE SATA 1: WDC WD5000AAKK-08ANVAO USB HDD:  USB CROM: </t>
  </si>
  <si>
    <t>Tendido de cable</t>
  </si>
  <si>
    <t>Conexiones</t>
  </si>
  <si>
    <t>Configuracion</t>
  </si>
  <si>
    <t>Colocacion de cable</t>
  </si>
  <si>
    <t>Ponchado de cable</t>
  </si>
  <si>
    <t>TENER UNA RED FUNCIONANDO EN SU TOTALIDAD PARA ENVIAR Y RECIBIR INFORMACION</t>
  </si>
  <si>
    <t xml:space="preserve">TODOS LOS EQUIPOS CONECTADOS A LA RED ESTEN CONECTADOS ENTRE SI PARA TENER ACCESO A LA INFORMACION </t>
  </si>
  <si>
    <t>SWITCH, CABLE UTP, JACK'S CONECTORES RJ45, PONZAS PONCHADORAS RJ45, PINZAS DE ALTO IMPACTO, PELA CABLES, PINZAS DE CORTE</t>
  </si>
  <si>
    <t>FECHA DE ELABORACIÓN:</t>
  </si>
  <si>
    <t>SE ENCIENDE EL EQUIPO, ESPERA A QUE INICIE EL SISTEMA OPERATIVO, EN LA BARRA DE BUSQUEDA SE ESCRIBE: ADMINISTRACION DE EQUIPOS, Y SE DA DOBLE CLICK</t>
  </si>
  <si>
    <t xml:space="preserve">Técnico    </t>
  </si>
  <si>
    <t>Técnico</t>
  </si>
  <si>
    <t>(Nombre y Firma)</t>
  </si>
  <si>
    <t>SWITCH    CABLE UTP CAT , CONECTORES RJ45, PINZAS PONCHADORAS RJ45, PINZAS DE ALTO IMPACTO, PELA CABLES, PINZAS DE CORTE, TESTER</t>
  </si>
  <si>
    <t>Colocar MUNICIPIO y Estado donde  se realizará la actividad propuesta</t>
  </si>
  <si>
    <t>Colegio de Estudios Cientificos y Tecnológicos del Estado de México Plantel</t>
  </si>
  <si>
    <t>Inventar un nombre para el proyecto de proyección.  Ejemplo:  MEJORA DE LA RED interna del negocio/escuela/empresa…</t>
  </si>
  <si>
    <t>Inventar estado actual de la red.   Ejemplo   SE IDENTIFICAN 5 NODOS DEFICIENTES</t>
  </si>
  <si>
    <t>EJEMPLO.-       MANTENIMIENTO A TODA LA RED ESTRUCTURAL Y REPARACION DE LOS NODOS DEFICIENTES</t>
  </si>
  <si>
    <t xml:space="preserve">Colegio de Estudios Cientificos y Tecnológicos del Estado de México Plantel </t>
  </si>
  <si>
    <t xml:space="preserve">LED </t>
  </si>
  <si>
    <t>Valle de Chalco Solidaridad I</t>
  </si>
  <si>
    <t>MJ04NQ4X</t>
  </si>
  <si>
    <t>10GRA01GLS</t>
  </si>
  <si>
    <t xml:space="preserve">Regular </t>
  </si>
  <si>
    <t>0F2JV2-LO300-9BR-0H60-A03</t>
  </si>
  <si>
    <t xml:space="preserve"> 0F2JV2</t>
  </si>
  <si>
    <t>USB alámbrico</t>
  </si>
  <si>
    <t>MS116T1</t>
  </si>
  <si>
    <t xml:space="preserve">0PRDV9-LO300-9BG-0KDT </t>
  </si>
  <si>
    <t>OJF44Y-FCC00-9AV-C56I-A07</t>
  </si>
  <si>
    <t>E2216H</t>
  </si>
  <si>
    <t>MJ04YSV2</t>
  </si>
  <si>
    <t>10GRA03ELD</t>
  </si>
  <si>
    <t>512 GB</t>
  </si>
  <si>
    <t xml:space="preserve">Excelente </t>
  </si>
  <si>
    <t>KB-0833</t>
  </si>
  <si>
    <t xml:space="preserve">USB Alambrico </t>
  </si>
  <si>
    <t>10071405951E</t>
  </si>
  <si>
    <t>MSB0846</t>
  </si>
  <si>
    <t xml:space="preserve">Monitor </t>
  </si>
  <si>
    <t>CN-0JF44Y-FCC00-9B9-CVYB-A07</t>
  </si>
  <si>
    <t>LED</t>
  </si>
  <si>
    <t>22 pulgadas</t>
  </si>
  <si>
    <t>PC01B</t>
  </si>
  <si>
    <t>192.168.1.228</t>
  </si>
  <si>
    <t>SCB</t>
  </si>
  <si>
    <t>PC02B</t>
  </si>
  <si>
    <t>PC03B</t>
  </si>
  <si>
    <t>192.168.1.156</t>
  </si>
  <si>
    <t>192.168..1.143</t>
  </si>
  <si>
    <t>SCA</t>
  </si>
  <si>
    <t>PC11A</t>
  </si>
  <si>
    <t>PC12A</t>
  </si>
  <si>
    <t>PC13A</t>
  </si>
  <si>
    <t>192.168.1.93</t>
  </si>
  <si>
    <t>192.168.1.98</t>
  </si>
  <si>
    <t>192.168.1.91</t>
  </si>
  <si>
    <t>192.168.1.255</t>
  </si>
  <si>
    <t>192.168.1.256</t>
  </si>
  <si>
    <t>MAY-0515</t>
  </si>
  <si>
    <t>Reiniciar la laptop y el router o modem</t>
  </si>
  <si>
    <t>La laptop y el router o modem pueden experimentar problemas de conexión debido a la sobrecarga de trabajo o la acumulación de datos.</t>
  </si>
  <si>
    <t>Verificar la configuración de la red Wi-Fi</t>
  </si>
  <si>
    <t xml:space="preserve">La configuración de la red Wi-Fi es fundamental para establecer una conexión a internet. Verificar la configuración de la red Wi-Fi puede resolver el problema </t>
  </si>
  <si>
    <t>Los controladores de la tarjeta de red son fundamentales para establecer una conexión a internet. Desinstalar y volver a instalar los controladores</t>
  </si>
  <si>
    <t>Actualizar regularmente los controladores de la tarjeta de red</t>
  </si>
  <si>
    <t>Los controladores de la tarjeta de red son fundamentales para establecer una conexión a internet. Actualizar regularmente los controladores</t>
  </si>
  <si>
    <t>Utilizar un antivirus y un firewall</t>
  </si>
  <si>
    <t xml:space="preserve">Los malware y virus pueden dañar la laptop y afectar la conexión a internet. Utilizar un antivirus y un firewall puede prevenir problemas de internet </t>
  </si>
  <si>
    <t>Realizar copias de seguridad regulares de los datos</t>
  </si>
  <si>
    <t>La pérdida de datos puede ser un problema grave en caso de que la laptop se dañe o se pierda la conexión a internet. Realizar copias de seguridad regulares.</t>
  </si>
  <si>
    <t>Acer Laptop Ryzen5 Aspire 3 Modelo 2024  8GB RAM  512GB SSD  al conectar el cargador el equipo no carga y no prende el equipo</t>
  </si>
  <si>
    <t>Diseñar la propuesta a realizar</t>
  </si>
  <si>
    <t>Se hará un plano donde se presente lo solicitado</t>
  </si>
  <si>
    <t>Armado del Switch y  rack</t>
  </si>
  <si>
    <t>Se hará el armado de switch y los jacks para instalarlo</t>
  </si>
  <si>
    <t>Ponchado de cables ethernet</t>
  </si>
  <si>
    <t>Se realizarán los cables directos para la conexión</t>
  </si>
  <si>
    <t>Acomodado de los equipos</t>
  </si>
  <si>
    <t>Se organizarán los equipos en su lugar</t>
  </si>
  <si>
    <t>Configuración de equipos</t>
  </si>
  <si>
    <t>Se hara la configuracion para la conexión entre los equipos</t>
  </si>
  <si>
    <t>Pruebas de conexión</t>
  </si>
  <si>
    <t>Se harán pruebas de conexión mediante el CMD entre los equipos</t>
  </si>
  <si>
    <t>Corrección de errores</t>
  </si>
  <si>
    <t>Se revisara y en caso de haber errores se corregirán</t>
  </si>
  <si>
    <t>Hojas milimetrícas, Draw.io</t>
  </si>
  <si>
    <t>Switch, Rack</t>
  </si>
  <si>
    <t>Cable UTP, conectores RJ45, Pela cables, pinzas de corte , pinzas ponchadoras y pela cables</t>
  </si>
  <si>
    <t>Equipos</t>
  </si>
  <si>
    <t>Tabla de direcciones</t>
  </si>
  <si>
    <t>Repuesto de materiales.</t>
  </si>
  <si>
    <t>Valle de Chalco Solidaridad, Av. Alfredo del Mazo</t>
  </si>
  <si>
    <t>Desarrollo de una red alámbrica para el departamento de ventas de la empresa Soriana</t>
  </si>
  <si>
    <t>Soriana</t>
  </si>
  <si>
    <t>Lic. Luis Ernesto Dominguez Espinoza</t>
  </si>
  <si>
    <t>switch</t>
  </si>
  <si>
    <t xml:space="preserve">router </t>
  </si>
  <si>
    <t>0F2JV2-LO300-9BR-
0H60-A03</t>
  </si>
  <si>
    <t xml:space="preserve">0PRDV9-LO300-
9BG-0KDT </t>
  </si>
  <si>
    <t>Luis Ernesto Domguinguez Espinoza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</si>
</sst>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m\-yyyy"/>
    <numFmt numFmtId="165" formatCode="dd\-mmm\-yyyy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i/>
      <u/>
      <sz val="1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1" fillId="2" borderId="0" xfId="0" applyFont="1" applyFill="1" applyProtection="1">
      <protection locked="0"/>
    </xf>
    <xf numFmtId="0" fontId="0" fillId="2" borderId="0" xfId="0" applyFill="1"/>
    <xf numFmtId="0" fontId="1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right" vertical="center" readingOrder="2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/>
    <xf numFmtId="0" fontId="0" fillId="2" borderId="0" xfId="0" applyFill="1" applyAlignment="1" applyProtection="1">
      <alignment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0" xfId="0" applyFill="1" applyAlignment="1" applyProtection="1">
      <alignment vertical="center" wrapText="1"/>
      <protection locked="0"/>
    </xf>
    <xf numFmtId="0" fontId="12" fillId="2" borderId="1" xfId="0" applyFont="1" applyFill="1" applyBorder="1" applyAlignment="1" applyProtection="1">
      <alignment vertical="center"/>
      <protection locked="0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6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Protection="1">
      <protection locked="0"/>
    </xf>
    <xf numFmtId="0" fontId="14" fillId="2" borderId="1" xfId="0" applyFont="1" applyFill="1" applyBorder="1" applyAlignment="1">
      <alignment horizontal="right" vertical="center"/>
    </xf>
    <xf numFmtId="0" fontId="4" fillId="2" borderId="0" xfId="0" applyFont="1" applyFill="1" applyAlignment="1" applyProtection="1">
      <alignment vertical="center"/>
      <protection locked="0"/>
    </xf>
    <xf numFmtId="49" fontId="13" fillId="2" borderId="1" xfId="0" applyNumberFormat="1" applyFont="1" applyFill="1" applyBorder="1" applyAlignment="1" applyProtection="1">
      <alignment vertical="center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7" fillId="2" borderId="1" xfId="0" applyFont="1" applyFill="1" applyBorder="1" applyAlignment="1">
      <alignment horizontal="right"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165" fontId="1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 applyProtection="1">
      <alignment vertical="center" wrapText="1"/>
      <protection locked="0"/>
    </xf>
    <xf numFmtId="0" fontId="12" fillId="2" borderId="1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165" fontId="10" fillId="2" borderId="1" xfId="0" applyNumberFormat="1" applyFont="1" applyFill="1" applyBorder="1" applyAlignment="1" applyProtection="1">
      <alignment horizontal="center" vertical="center"/>
      <protection hidden="1"/>
    </xf>
    <xf numFmtId="0" fontId="12" fillId="2" borderId="1" xfId="0" applyFont="1" applyFill="1" applyBorder="1" applyProtection="1">
      <protection locked="0"/>
    </xf>
    <xf numFmtId="0" fontId="14" fillId="2" borderId="1" xfId="0" applyFont="1" applyFill="1" applyBorder="1" applyAlignment="1" applyProtection="1">
      <alignment vertical="center" wrapText="1"/>
      <protection hidden="1"/>
    </xf>
    <xf numFmtId="0" fontId="14" fillId="2" borderId="1" xfId="0" applyFont="1" applyFill="1" applyBorder="1" applyAlignment="1" applyProtection="1">
      <alignment vertical="center"/>
      <protection hidden="1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 applyProtection="1">
      <alignment vertical="center" wrapText="1"/>
      <protection hidden="1"/>
    </xf>
    <xf numFmtId="15" fontId="20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2" borderId="3" xfId="0" applyFont="1" applyFill="1" applyBorder="1" applyAlignment="1" applyProtection="1">
      <alignment vertical="center"/>
      <protection hidden="1"/>
    </xf>
    <xf numFmtId="0" fontId="14" fillId="2" borderId="1" xfId="0" applyFont="1" applyFill="1" applyBorder="1" applyAlignment="1" applyProtection="1">
      <alignment horizontal="center" vertical="center" wrapText="1"/>
      <protection hidden="1"/>
    </xf>
    <xf numFmtId="0" fontId="14" fillId="2" borderId="5" xfId="0" applyFont="1" applyFill="1" applyBorder="1" applyAlignment="1" applyProtection="1">
      <alignment horizontal="center" vertical="center" wrapText="1"/>
      <protection hidden="1"/>
    </xf>
    <xf numFmtId="165" fontId="20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0" fontId="21" fillId="2" borderId="1" xfId="0" applyFont="1" applyFill="1" applyBorder="1" applyAlignment="1" applyProtection="1">
      <alignment vertical="center"/>
      <protection locked="0"/>
    </xf>
    <xf numFmtId="0" fontId="21" fillId="2" borderId="1" xfId="0" applyFont="1" applyFill="1" applyBorder="1" applyAlignment="1" applyProtection="1">
      <alignment vertical="center" wrapText="1"/>
      <protection locked="0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16" fillId="2" borderId="0" xfId="0" applyFont="1" applyFill="1" applyAlignment="1" applyProtection="1">
      <alignment horizontal="center" vertical="center"/>
      <protection hidden="1"/>
    </xf>
    <xf numFmtId="0" fontId="12" fillId="2" borderId="1" xfId="0" applyFont="1" applyFill="1" applyBorder="1" applyAlignment="1" applyProtection="1">
      <alignment horizontal="left"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14" fillId="2" borderId="3" xfId="0" applyFont="1" applyFill="1" applyBorder="1" applyAlignment="1" applyProtection="1">
      <alignment horizontal="left" vertical="center"/>
      <protection hidden="1"/>
    </xf>
    <xf numFmtId="0" fontId="14" fillId="2" borderId="4" xfId="0" applyFont="1" applyFill="1" applyBorder="1" applyAlignment="1" applyProtection="1">
      <alignment horizontal="left" vertical="center"/>
      <protection hidden="1"/>
    </xf>
    <xf numFmtId="0" fontId="14" fillId="2" borderId="5" xfId="0" applyFont="1" applyFill="1" applyBorder="1" applyAlignment="1" applyProtection="1">
      <alignment horizontal="left" vertical="center"/>
      <protection hidden="1"/>
    </xf>
    <xf numFmtId="0" fontId="5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 applyProtection="1">
      <alignment horizontal="left" vertical="center"/>
      <protection locked="0"/>
    </xf>
    <xf numFmtId="0" fontId="12" fillId="2" borderId="4" xfId="0" applyFont="1" applyFill="1" applyBorder="1" applyAlignment="1" applyProtection="1">
      <alignment horizontal="left" vertical="center"/>
      <protection locked="0"/>
    </xf>
    <xf numFmtId="0" fontId="12" fillId="2" borderId="5" xfId="0" applyFont="1" applyFill="1" applyBorder="1" applyAlignment="1" applyProtection="1">
      <alignment horizontal="left" vertical="center"/>
      <protection locked="0"/>
    </xf>
    <xf numFmtId="0" fontId="18" fillId="2" borderId="3" xfId="0" applyFont="1" applyFill="1" applyBorder="1" applyAlignment="1" applyProtection="1">
      <alignment vertical="center"/>
      <protection locked="0"/>
    </xf>
    <xf numFmtId="0" fontId="18" fillId="2" borderId="4" xfId="0" applyFont="1" applyFill="1" applyBorder="1" applyAlignment="1" applyProtection="1">
      <alignment vertical="center"/>
      <protection locked="0"/>
    </xf>
    <xf numFmtId="0" fontId="18" fillId="2" borderId="5" xfId="0" applyFont="1" applyFill="1" applyBorder="1" applyAlignment="1" applyProtection="1">
      <alignment vertical="center"/>
      <protection locked="0"/>
    </xf>
    <xf numFmtId="0" fontId="18" fillId="2" borderId="1" xfId="0" applyFont="1" applyFill="1" applyBorder="1" applyAlignment="1" applyProtection="1">
      <alignment vertical="center"/>
      <protection locked="0"/>
    </xf>
    <xf numFmtId="0" fontId="14" fillId="2" borderId="3" xfId="0" applyFont="1" applyFill="1" applyBorder="1" applyAlignment="1">
      <alignment horizontal="right" vertical="center"/>
    </xf>
    <xf numFmtId="0" fontId="14" fillId="2" borderId="5" xfId="0" applyFont="1" applyFill="1" applyBorder="1" applyAlignment="1">
      <alignment horizontal="right" vertical="center"/>
    </xf>
    <xf numFmtId="0" fontId="15" fillId="2" borderId="0" xfId="0" applyFont="1" applyFill="1" applyAlignment="1" applyProtection="1">
      <alignment horizontal="center" vertical="center"/>
      <protection hidden="1"/>
    </xf>
    <xf numFmtId="15" fontId="20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20" fillId="2" borderId="1" xfId="0" applyFont="1" applyFill="1" applyBorder="1" applyAlignment="1" applyProtection="1">
      <alignment horizontal="center" vertical="center" wrapText="1"/>
      <protection hidden="1"/>
    </xf>
    <xf numFmtId="0" fontId="18" fillId="2" borderId="1" xfId="0" applyFont="1" applyFill="1" applyBorder="1" applyAlignment="1" applyProtection="1">
      <alignment horizontal="left" vertical="center" indent="1"/>
      <protection locked="0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 applyProtection="1">
      <alignment horizontal="left" vertical="center" wrapText="1"/>
      <protection locked="0"/>
    </xf>
    <xf numFmtId="0" fontId="12" fillId="2" borderId="4" xfId="0" applyFont="1" applyFill="1" applyBorder="1" applyAlignment="1" applyProtection="1">
      <alignment horizontal="left" vertical="center" wrapText="1"/>
      <protection locked="0"/>
    </xf>
    <xf numFmtId="0" fontId="12" fillId="2" borderId="5" xfId="0" applyFont="1" applyFill="1" applyBorder="1" applyAlignment="1" applyProtection="1">
      <alignment horizontal="left" vertical="center" wrapText="1"/>
      <protection locked="0"/>
    </xf>
    <xf numFmtId="0" fontId="18" fillId="2" borderId="3" xfId="0" applyFont="1" applyFill="1" applyBorder="1" applyAlignment="1" applyProtection="1">
      <alignment vertical="center" wrapText="1"/>
      <protection locked="0"/>
    </xf>
    <xf numFmtId="0" fontId="18" fillId="2" borderId="4" xfId="0" applyFont="1" applyFill="1" applyBorder="1" applyAlignment="1" applyProtection="1">
      <alignment vertical="center" wrapText="1"/>
      <protection locked="0"/>
    </xf>
    <xf numFmtId="0" fontId="18" fillId="2" borderId="5" xfId="0" applyFont="1" applyFill="1" applyBorder="1" applyAlignment="1" applyProtection="1">
      <alignment vertical="center" wrapText="1"/>
      <protection locked="0"/>
    </xf>
    <xf numFmtId="0" fontId="12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 applyProtection="1">
      <alignment horizontal="left" vertical="center"/>
      <protection locked="0"/>
    </xf>
    <xf numFmtId="0" fontId="14" fillId="2" borderId="1" xfId="0" applyFont="1" applyFill="1" applyBorder="1" applyAlignment="1" applyProtection="1">
      <alignment horizontal="left" vertical="center"/>
      <protection hidden="1"/>
    </xf>
    <xf numFmtId="0" fontId="1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12" fillId="2" borderId="5" xfId="0" applyFont="1" applyFill="1" applyBorder="1" applyAlignment="1" applyProtection="1">
      <alignment horizontal="center" vertical="center"/>
      <protection locked="0"/>
    </xf>
    <xf numFmtId="0" fontId="10" fillId="2" borderId="7" xfId="0" applyFont="1" applyFill="1" applyBorder="1" applyAlignment="1" applyProtection="1">
      <alignment horizontal="center" vertical="center"/>
      <protection hidden="1"/>
    </xf>
    <xf numFmtId="0" fontId="14" fillId="2" borderId="7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>
      <alignment horizontal="right" vertical="center" wrapText="1"/>
    </xf>
    <xf numFmtId="0" fontId="14" fillId="2" borderId="7" xfId="0" applyFont="1" applyFill="1" applyBorder="1" applyAlignment="1" applyProtection="1">
      <alignment horizontal="center" vertical="center"/>
      <protection hidden="1"/>
    </xf>
    <xf numFmtId="0" fontId="21" fillId="2" borderId="1" xfId="0" applyFont="1" applyFill="1" applyBorder="1" applyAlignment="1" applyProtection="1">
      <alignment horizontal="left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 vertical="justify" wrapText="1"/>
    </xf>
    <xf numFmtId="0" fontId="1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 applyProtection="1">
      <alignment horizontal="center"/>
      <protection hidden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wrapText="1"/>
      <protection hidden="1"/>
    </xf>
    <xf numFmtId="0" fontId="12" fillId="2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33</xdr:row>
      <xdr:rowOff>0</xdr:rowOff>
    </xdr:from>
    <xdr:to>
      <xdr:col>3</xdr:col>
      <xdr:colOff>304800</xdr:colOff>
      <xdr:row>34</xdr:row>
      <xdr:rowOff>114300</xdr:rowOff>
    </xdr:to>
    <xdr:sp macro="" textlink="">
      <xdr:nvSpPr>
        <xdr:cNvPr id="7169" name="AutoShape 1" descr="Archivo:Firma de Juan José Pradera.svg - Wikipedia, la enciclopedia libre">
          <a:extLs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2657475" y="995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9" tint="0.39997558519241921"/>
    <pageSetUpPr fitToPage="1"/>
  </sheetPr>
  <dimension ref="A1:G26"/>
  <sheetViews>
    <sheetView zoomScaleNormal="100" workbookViewId="0">
      <selection activeCell="C27" sqref="C27"/>
    </sheetView>
  </sheetViews>
  <sheetFormatPr baseColWidth="10" defaultColWidth="10.85546875" defaultRowHeight="15"/>
  <cols>
    <col min="1" max="1" width="4.42578125" style="14" customWidth="1"/>
    <col min="2" max="2" width="21.28515625" style="14" customWidth="1"/>
    <col min="3" max="3" width="55.7109375" style="14" customWidth="1"/>
    <col min="4" max="4" width="24.28515625" style="14" customWidth="1"/>
    <col min="5" max="5" width="15" style="14" customWidth="1"/>
    <col min="6" max="6" width="21.140625" style="14" customWidth="1"/>
    <col min="7" max="7" width="34.42578125" style="14" customWidth="1"/>
    <col min="8" max="16384" width="10.85546875" style="14"/>
  </cols>
  <sheetData>
    <row r="1" spans="1:7">
      <c r="A1" s="20"/>
      <c r="B1" s="20"/>
      <c r="C1" s="20"/>
      <c r="D1" s="20"/>
      <c r="E1" s="20"/>
      <c r="F1" s="20"/>
      <c r="G1" s="20"/>
    </row>
    <row r="2" spans="1:7" ht="20.25">
      <c r="A2" s="62" t="s">
        <v>55</v>
      </c>
      <c r="B2" s="62"/>
      <c r="C2" s="62"/>
      <c r="D2" s="62"/>
      <c r="E2" s="62"/>
      <c r="F2" s="62"/>
      <c r="G2" s="62"/>
    </row>
    <row r="3" spans="1:7">
      <c r="A3" s="20"/>
      <c r="B3" s="20"/>
      <c r="C3" s="20"/>
      <c r="D3" s="20"/>
      <c r="E3" s="20"/>
      <c r="F3" s="20"/>
      <c r="G3" s="20"/>
    </row>
    <row r="4" spans="1:7" s="2" customFormat="1" ht="41.45" customHeight="1">
      <c r="A4" s="63" t="s">
        <v>8</v>
      </c>
      <c r="B4" s="63"/>
      <c r="C4" s="42" t="s">
        <v>85</v>
      </c>
      <c r="D4" s="67" t="s">
        <v>91</v>
      </c>
      <c r="E4" s="67"/>
      <c r="F4" s="6" t="s">
        <v>78</v>
      </c>
      <c r="G4" s="40">
        <v>45670</v>
      </c>
    </row>
    <row r="5" spans="1:7" ht="30" customHeight="1">
      <c r="A5" s="63" t="s">
        <v>9</v>
      </c>
      <c r="B5" s="63"/>
      <c r="C5" s="37" t="s">
        <v>81</v>
      </c>
      <c r="D5" s="66" t="s">
        <v>171</v>
      </c>
      <c r="E5" s="66"/>
      <c r="F5" s="66"/>
      <c r="G5" s="66"/>
    </row>
    <row r="6" spans="1:7">
      <c r="A6" s="20"/>
      <c r="B6" s="20"/>
      <c r="C6" s="20"/>
      <c r="D6" s="20"/>
      <c r="E6" s="20"/>
      <c r="F6" s="20"/>
      <c r="G6" s="20"/>
    </row>
    <row r="7" spans="1:7">
      <c r="A7" s="20"/>
      <c r="B7" s="20"/>
      <c r="C7" s="20"/>
      <c r="D7" s="20"/>
      <c r="E7" s="20"/>
      <c r="F7" s="20"/>
      <c r="G7" s="20"/>
    </row>
    <row r="8" spans="1:7" s="15" customFormat="1" ht="27.95" customHeight="1">
      <c r="A8" s="17" t="s">
        <v>1</v>
      </c>
      <c r="B8" s="17" t="s">
        <v>2</v>
      </c>
      <c r="C8" s="17" t="s">
        <v>3</v>
      </c>
      <c r="D8" s="17" t="s">
        <v>4</v>
      </c>
      <c r="E8" s="17" t="s">
        <v>5</v>
      </c>
      <c r="F8" s="17" t="s">
        <v>6</v>
      </c>
      <c r="G8" s="17" t="s">
        <v>7</v>
      </c>
    </row>
    <row r="9" spans="1:7" ht="27.95" customHeight="1">
      <c r="A9" s="38">
        <v>1</v>
      </c>
      <c r="B9" s="38" t="s">
        <v>57</v>
      </c>
      <c r="C9" s="38" t="s">
        <v>92</v>
      </c>
      <c r="D9" s="38" t="s">
        <v>93</v>
      </c>
      <c r="E9" s="38" t="s">
        <v>66</v>
      </c>
      <c r="F9" s="38">
        <v>512</v>
      </c>
      <c r="G9" s="38" t="s">
        <v>94</v>
      </c>
    </row>
    <row r="10" spans="1:7" ht="27.6" customHeight="1">
      <c r="A10" s="38">
        <v>2</v>
      </c>
      <c r="B10" s="38" t="s">
        <v>59</v>
      </c>
      <c r="C10" s="38" t="s">
        <v>95</v>
      </c>
      <c r="D10" s="38" t="s">
        <v>96</v>
      </c>
      <c r="E10" s="14" t="s">
        <v>97</v>
      </c>
      <c r="F10" s="38" t="s">
        <v>67</v>
      </c>
      <c r="G10" s="38" t="s">
        <v>94</v>
      </c>
    </row>
    <row r="11" spans="1:7" ht="27.95" customHeight="1">
      <c r="A11" s="38">
        <v>3</v>
      </c>
      <c r="B11" s="38" t="s">
        <v>60</v>
      </c>
      <c r="C11" s="39" t="s">
        <v>99</v>
      </c>
      <c r="D11" s="38" t="s">
        <v>98</v>
      </c>
      <c r="E11" s="38" t="s">
        <v>97</v>
      </c>
      <c r="F11" s="38" t="s">
        <v>67</v>
      </c>
      <c r="G11" s="38" t="s">
        <v>94</v>
      </c>
    </row>
    <row r="12" spans="1:7" ht="27.95" customHeight="1">
      <c r="A12" s="38">
        <v>4</v>
      </c>
      <c r="B12" s="38" t="s">
        <v>58</v>
      </c>
      <c r="C12" s="38" t="s">
        <v>100</v>
      </c>
      <c r="D12" s="38" t="s">
        <v>101</v>
      </c>
      <c r="E12" s="38" t="s">
        <v>90</v>
      </c>
      <c r="F12" s="38" t="s">
        <v>113</v>
      </c>
      <c r="G12" s="38" t="s">
        <v>94</v>
      </c>
    </row>
    <row r="13" spans="1:7" ht="27.95" customHeight="1">
      <c r="A13" s="38">
        <v>5</v>
      </c>
      <c r="B13" s="38" t="s">
        <v>57</v>
      </c>
      <c r="C13" s="38" t="s">
        <v>102</v>
      </c>
      <c r="D13" s="38" t="s">
        <v>103</v>
      </c>
      <c r="E13" s="38" t="s">
        <v>66</v>
      </c>
      <c r="F13" s="38" t="s">
        <v>104</v>
      </c>
      <c r="G13" s="38" t="s">
        <v>105</v>
      </c>
    </row>
    <row r="14" spans="1:7" ht="27.95" customHeight="1">
      <c r="A14" s="38">
        <v>6</v>
      </c>
      <c r="B14" s="38" t="s">
        <v>59</v>
      </c>
      <c r="C14" s="38">
        <v>110117543775</v>
      </c>
      <c r="D14" s="38" t="s">
        <v>106</v>
      </c>
      <c r="E14" s="38" t="s">
        <v>107</v>
      </c>
      <c r="F14" s="38" t="s">
        <v>67</v>
      </c>
      <c r="G14" s="38" t="s">
        <v>94</v>
      </c>
    </row>
    <row r="15" spans="1:7" ht="27.95" customHeight="1">
      <c r="A15" s="38">
        <v>7</v>
      </c>
      <c r="B15" s="38" t="s">
        <v>60</v>
      </c>
      <c r="C15" s="39" t="s">
        <v>108</v>
      </c>
      <c r="D15" s="38" t="s">
        <v>109</v>
      </c>
      <c r="E15" s="38" t="s">
        <v>107</v>
      </c>
      <c r="F15" s="38" t="s">
        <v>67</v>
      </c>
      <c r="G15" s="38" t="s">
        <v>94</v>
      </c>
    </row>
    <row r="16" spans="1:7" ht="27.95" customHeight="1">
      <c r="A16" s="38">
        <v>8</v>
      </c>
      <c r="B16" s="38" t="s">
        <v>110</v>
      </c>
      <c r="C16" s="38" t="s">
        <v>111</v>
      </c>
      <c r="D16" s="38" t="s">
        <v>101</v>
      </c>
      <c r="E16" s="38" t="s">
        <v>112</v>
      </c>
      <c r="F16" s="38" t="s">
        <v>113</v>
      </c>
      <c r="G16" s="38" t="s">
        <v>105</v>
      </c>
    </row>
    <row r="17" spans="1:7" ht="29.25" customHeight="1">
      <c r="A17" s="64" t="s">
        <v>10</v>
      </c>
      <c r="B17" s="64"/>
      <c r="C17" s="64"/>
      <c r="D17" s="64"/>
      <c r="E17" s="64"/>
      <c r="F17" s="64"/>
      <c r="G17" s="64"/>
    </row>
    <row r="18" spans="1:7">
      <c r="A18" s="20"/>
      <c r="B18" s="21"/>
      <c r="C18" s="21"/>
      <c r="D18" s="61"/>
      <c r="E18" s="61"/>
      <c r="F18" s="20"/>
      <c r="G18" s="20"/>
    </row>
    <row r="19" spans="1:7" ht="15" customHeight="1">
      <c r="A19" s="20"/>
      <c r="B19" s="20"/>
      <c r="C19" s="20"/>
      <c r="D19" s="61"/>
      <c r="E19" s="61"/>
      <c r="F19" s="20"/>
      <c r="G19" s="20"/>
    </row>
    <row r="20" spans="1:7">
      <c r="A20" s="65" t="str">
        <f>CONCATENATE(C5,"   ", D5)</f>
        <v>Técnico   Luis Ernesto Domguinguez Espinoza</v>
      </c>
      <c r="B20" s="65"/>
      <c r="C20" s="65"/>
      <c r="D20" s="65"/>
      <c r="E20" s="65"/>
      <c r="F20" s="65"/>
      <c r="G20" s="65"/>
    </row>
    <row r="21" spans="1:7">
      <c r="A21" s="61" t="s">
        <v>82</v>
      </c>
      <c r="B21" s="61"/>
      <c r="C21" s="61"/>
      <c r="D21" s="61"/>
      <c r="E21" s="61"/>
      <c r="F21" s="61"/>
      <c r="G21" s="61"/>
    </row>
    <row r="22" spans="1:7">
      <c r="A22" s="20"/>
      <c r="B22" s="20"/>
      <c r="C22" s="20"/>
      <c r="D22" s="20"/>
      <c r="E22" s="20"/>
      <c r="F22" s="20"/>
      <c r="G22" s="20"/>
    </row>
    <row r="23" spans="1:7">
      <c r="A23" s="20"/>
      <c r="B23" s="20"/>
      <c r="C23" s="20"/>
      <c r="D23" s="20"/>
      <c r="E23" s="20"/>
      <c r="F23" s="20"/>
      <c r="G23" s="20"/>
    </row>
    <row r="24" spans="1:7">
      <c r="A24" s="20"/>
      <c r="B24" s="20"/>
      <c r="C24" s="20"/>
      <c r="D24" s="20"/>
      <c r="E24" s="20"/>
      <c r="F24" s="20"/>
      <c r="G24" s="20"/>
    </row>
    <row r="25" spans="1:7">
      <c r="A25" s="20"/>
      <c r="B25" s="20"/>
      <c r="C25" s="20"/>
      <c r="D25" s="20"/>
      <c r="E25" s="20"/>
      <c r="F25" s="20"/>
      <c r="G25" s="20"/>
    </row>
    <row r="26" spans="1:7">
      <c r="A26" s="20"/>
      <c r="B26" s="20"/>
      <c r="C26" s="20"/>
      <c r="D26" s="20"/>
      <c r="E26" s="20"/>
      <c r="F26" s="20"/>
      <c r="G26" s="20"/>
    </row>
  </sheetData>
  <sheetProtection algorithmName="SHA-512" hashValue="sUFAOlIf9Ozw2gc8ACQVPw1qjuDp/Vv1JgsCjEMrDW00KWP7rtzOnK7GJU/0Ah+4RMPgI721fcHj99FgmWfD9A==" saltValue="8/fgNDpKH+1jCEz8OciCqQ==" spinCount="100000" sheet="1" objects="1" scenarios="1"/>
  <mergeCells count="9">
    <mergeCell ref="A21:G21"/>
    <mergeCell ref="A2:G2"/>
    <mergeCell ref="A4:B4"/>
    <mergeCell ref="A5:B5"/>
    <mergeCell ref="D18:E19"/>
    <mergeCell ref="A17:G17"/>
    <mergeCell ref="A20:G20"/>
    <mergeCell ref="D5:G5"/>
    <mergeCell ref="D4:E4"/>
  </mergeCells>
  <phoneticPr fontId="11" type="noConversion"/>
  <printOptions horizontalCentered="1" verticalCentered="1"/>
  <pageMargins left="0.70866141732283472" right="0.70866141732283472" top="0.74803149606299213" bottom="0.74803149606299213" header="0" footer="0.31496062992125984"/>
  <pageSetup scale="70" orientation="landscape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9" tint="0.39997558519241921"/>
    <pageSetUpPr fitToPage="1"/>
  </sheetPr>
  <dimension ref="A1:G36"/>
  <sheetViews>
    <sheetView zoomScaleNormal="100" workbookViewId="0">
      <selection activeCell="G19" sqref="G19"/>
    </sheetView>
  </sheetViews>
  <sheetFormatPr baseColWidth="10" defaultColWidth="10.85546875" defaultRowHeight="15"/>
  <cols>
    <col min="1" max="1" width="8.85546875" style="14" customWidth="1"/>
    <col min="2" max="2" width="23.42578125" style="14" customWidth="1"/>
    <col min="3" max="3" width="28.5703125" style="14" customWidth="1"/>
    <col min="4" max="4" width="20.28515625" style="14" customWidth="1"/>
    <col min="5" max="5" width="21.28515625" style="14" customWidth="1"/>
    <col min="6" max="6" width="28.85546875" style="14" customWidth="1"/>
    <col min="7" max="7" width="29.28515625" style="14" customWidth="1"/>
    <col min="8" max="16384" width="10.85546875" style="14"/>
  </cols>
  <sheetData>
    <row r="1" spans="1:7">
      <c r="A1" s="20"/>
      <c r="B1" s="20"/>
      <c r="C1" s="20"/>
      <c r="D1" s="20"/>
      <c r="E1" s="20"/>
      <c r="F1" s="20"/>
      <c r="G1" s="20"/>
    </row>
    <row r="2" spans="1:7" ht="20.25">
      <c r="A2" s="72" t="s">
        <v>41</v>
      </c>
      <c r="B2" s="72"/>
      <c r="C2" s="72"/>
      <c r="D2" s="72"/>
      <c r="E2" s="72"/>
      <c r="F2" s="72"/>
      <c r="G2" s="72"/>
    </row>
    <row r="3" spans="1:7" ht="20.25">
      <c r="A3" s="72"/>
      <c r="B3" s="72"/>
      <c r="C3" s="72"/>
      <c r="D3" s="72"/>
      <c r="E3" s="72"/>
      <c r="F3" s="72"/>
      <c r="G3" s="72"/>
    </row>
    <row r="4" spans="1:7" ht="41.45" customHeight="1">
      <c r="A4" s="63" t="s">
        <v>8</v>
      </c>
      <c r="B4" s="63"/>
      <c r="C4" s="77" t="s">
        <v>85</v>
      </c>
      <c r="D4" s="77"/>
      <c r="E4" s="48" t="str">
        <f>+'E1 - P1'!D4</f>
        <v>Valle de Chalco Solidaridad I</v>
      </c>
      <c r="F4" s="6" t="s">
        <v>78</v>
      </c>
      <c r="G4" s="56">
        <f>+'E1 - P1'!G4</f>
        <v>45670</v>
      </c>
    </row>
    <row r="5" spans="1:7" ht="30" customHeight="1">
      <c r="A5" s="63" t="s">
        <v>9</v>
      </c>
      <c r="B5" s="63"/>
      <c r="C5" s="16" t="s">
        <v>81</v>
      </c>
      <c r="D5" s="69" t="str">
        <f>+'E1 - P1'!D5:G5</f>
        <v>Luis Ernesto Domguinguez Espinoza</v>
      </c>
      <c r="E5" s="70"/>
      <c r="F5" s="70"/>
      <c r="G5" s="71"/>
    </row>
    <row r="6" spans="1:7" ht="12.95" customHeight="1">
      <c r="A6" s="20"/>
      <c r="B6" s="20"/>
      <c r="C6" s="20"/>
      <c r="D6" s="20"/>
      <c r="E6" s="20"/>
      <c r="F6" s="20"/>
      <c r="G6" s="20"/>
    </row>
    <row r="7" spans="1:7">
      <c r="A7" s="63" t="s">
        <v>22</v>
      </c>
      <c r="B7" s="63"/>
      <c r="C7" s="73" t="s">
        <v>68</v>
      </c>
      <c r="D7" s="74"/>
      <c r="E7" s="74"/>
      <c r="F7" s="74"/>
      <c r="G7" s="74"/>
    </row>
    <row r="8" spans="1:7">
      <c r="A8" s="63"/>
      <c r="B8" s="63"/>
      <c r="C8" s="74"/>
      <c r="D8" s="74"/>
      <c r="E8" s="74"/>
      <c r="F8" s="74"/>
      <c r="G8" s="74"/>
    </row>
    <row r="9" spans="1:7">
      <c r="A9" s="63"/>
      <c r="B9" s="63"/>
      <c r="C9" s="74"/>
      <c r="D9" s="74"/>
      <c r="E9" s="74"/>
      <c r="F9" s="74"/>
      <c r="G9" s="74"/>
    </row>
    <row r="10" spans="1:7">
      <c r="A10" s="63"/>
      <c r="B10" s="63"/>
      <c r="C10" s="74"/>
      <c r="D10" s="74"/>
      <c r="E10" s="74"/>
      <c r="F10" s="74"/>
      <c r="G10" s="74"/>
    </row>
    <row r="11" spans="1:7">
      <c r="A11" s="75" t="s">
        <v>21</v>
      </c>
      <c r="B11" s="75"/>
      <c r="C11" s="73" t="s">
        <v>69</v>
      </c>
      <c r="D11" s="74"/>
      <c r="E11" s="74"/>
      <c r="F11" s="74"/>
      <c r="G11" s="74"/>
    </row>
    <row r="12" spans="1:7">
      <c r="A12" s="75"/>
      <c r="B12" s="75"/>
      <c r="C12" s="74"/>
      <c r="D12" s="74"/>
      <c r="E12" s="74"/>
      <c r="F12" s="74"/>
      <c r="G12" s="74"/>
    </row>
    <row r="13" spans="1:7">
      <c r="A13" s="75"/>
      <c r="B13" s="75"/>
      <c r="C13" s="74"/>
      <c r="D13" s="74"/>
      <c r="E13" s="74"/>
      <c r="F13" s="74"/>
      <c r="G13" s="74"/>
    </row>
    <row r="14" spans="1:7">
      <c r="A14" s="75"/>
      <c r="B14" s="75"/>
      <c r="C14" s="74"/>
      <c r="D14" s="74"/>
      <c r="E14" s="74"/>
      <c r="F14" s="74"/>
      <c r="G14" s="74"/>
    </row>
    <row r="15" spans="1:7">
      <c r="A15" s="20"/>
      <c r="B15" s="20"/>
      <c r="C15" s="20"/>
      <c r="D15" s="20"/>
      <c r="E15" s="20"/>
      <c r="F15" s="20"/>
      <c r="G15" s="20"/>
    </row>
    <row r="16" spans="1:7" s="15" customFormat="1" ht="28.5" customHeight="1">
      <c r="A16" s="17" t="s">
        <v>0</v>
      </c>
      <c r="B16" s="17" t="s">
        <v>11</v>
      </c>
      <c r="C16" s="17" t="s">
        <v>12</v>
      </c>
      <c r="D16" s="17" t="s">
        <v>13</v>
      </c>
      <c r="E16" s="27" t="s">
        <v>14</v>
      </c>
      <c r="F16" s="27" t="s">
        <v>51</v>
      </c>
      <c r="G16" s="17" t="s">
        <v>15</v>
      </c>
    </row>
    <row r="17" spans="1:7" ht="27.95" customHeight="1">
      <c r="A17" s="38">
        <v>1</v>
      </c>
      <c r="B17" s="38" t="s">
        <v>114</v>
      </c>
      <c r="C17" s="38" t="s">
        <v>116</v>
      </c>
      <c r="D17" s="41" t="s">
        <v>115</v>
      </c>
      <c r="E17" s="41" t="s">
        <v>61</v>
      </c>
      <c r="F17" s="41" t="s">
        <v>62</v>
      </c>
      <c r="G17" s="41" t="s">
        <v>63</v>
      </c>
    </row>
    <row r="18" spans="1:7" ht="27.95" customHeight="1">
      <c r="A18" s="38">
        <v>2</v>
      </c>
      <c r="B18" s="38" t="s">
        <v>117</v>
      </c>
      <c r="C18" s="38" t="s">
        <v>116</v>
      </c>
      <c r="D18" s="38" t="s">
        <v>119</v>
      </c>
      <c r="E18" s="41" t="s">
        <v>61</v>
      </c>
      <c r="F18" s="41" t="s">
        <v>62</v>
      </c>
      <c r="G18" s="41" t="s">
        <v>63</v>
      </c>
    </row>
    <row r="19" spans="1:7" ht="27.95" customHeight="1">
      <c r="A19" s="38">
        <v>3</v>
      </c>
      <c r="B19" s="38" t="s">
        <v>118</v>
      </c>
      <c r="C19" s="38" t="s">
        <v>116</v>
      </c>
      <c r="D19" s="38" t="s">
        <v>120</v>
      </c>
      <c r="E19" s="38" t="s">
        <v>61</v>
      </c>
      <c r="F19" s="38" t="s">
        <v>62</v>
      </c>
      <c r="G19" s="38" t="s">
        <v>63</v>
      </c>
    </row>
    <row r="20" spans="1:7" ht="27.95" customHeight="1">
      <c r="A20" s="38"/>
      <c r="B20" s="38"/>
      <c r="C20" s="38"/>
      <c r="E20" s="38"/>
      <c r="F20" s="38"/>
      <c r="G20" s="38"/>
    </row>
    <row r="21" spans="1:7" ht="27.95" customHeight="1">
      <c r="A21" s="19"/>
      <c r="B21" s="19"/>
      <c r="C21" s="19"/>
      <c r="D21" s="19"/>
      <c r="E21" s="19"/>
      <c r="F21" s="19"/>
      <c r="G21" s="19"/>
    </row>
    <row r="22" spans="1:7" ht="27.95" customHeight="1">
      <c r="A22" s="19"/>
      <c r="B22" s="19"/>
      <c r="C22" s="19"/>
      <c r="D22" s="19"/>
      <c r="E22" s="19"/>
      <c r="F22" s="19"/>
      <c r="G22" s="19"/>
    </row>
    <row r="23" spans="1:7" ht="27.95" customHeight="1">
      <c r="A23" s="19"/>
      <c r="B23" s="19"/>
      <c r="C23" s="19"/>
      <c r="D23" s="19"/>
      <c r="E23" s="19"/>
      <c r="F23" s="19"/>
      <c r="G23" s="19"/>
    </row>
    <row r="24" spans="1:7" ht="27.95" customHeight="1">
      <c r="A24" s="19"/>
      <c r="B24" s="19"/>
      <c r="C24" s="19"/>
      <c r="D24" s="19"/>
      <c r="E24" s="19"/>
      <c r="F24" s="19"/>
      <c r="G24" s="19"/>
    </row>
    <row r="25" spans="1:7">
      <c r="A25" s="20"/>
      <c r="B25" s="20"/>
      <c r="C25" s="20"/>
      <c r="D25" s="20"/>
      <c r="E25" s="20"/>
      <c r="F25" s="20"/>
      <c r="G25" s="20"/>
    </row>
    <row r="26" spans="1:7" ht="15" customHeight="1">
      <c r="A26" s="76" t="s">
        <v>16</v>
      </c>
      <c r="B26" s="76"/>
      <c r="C26" s="76"/>
      <c r="D26" s="76"/>
      <c r="E26" s="76"/>
      <c r="F26" s="76"/>
      <c r="G26" s="76"/>
    </row>
    <row r="27" spans="1:7">
      <c r="A27" s="76"/>
      <c r="B27" s="76"/>
      <c r="C27" s="76"/>
      <c r="D27" s="76"/>
      <c r="E27" s="76"/>
      <c r="F27" s="76"/>
      <c r="G27" s="76"/>
    </row>
    <row r="28" spans="1:7">
      <c r="A28" s="20"/>
      <c r="B28" s="20"/>
      <c r="C28" s="21"/>
      <c r="D28" s="21"/>
      <c r="E28" s="20"/>
      <c r="F28" s="20"/>
      <c r="G28" s="20"/>
    </row>
    <row r="29" spans="1:7">
      <c r="A29" s="20"/>
      <c r="B29" s="20"/>
      <c r="C29" s="20"/>
      <c r="D29" s="20"/>
      <c r="E29" s="20"/>
      <c r="F29" s="20"/>
      <c r="G29" s="20"/>
    </row>
    <row r="30" spans="1:7">
      <c r="A30" s="65" t="str">
        <f>CONCATENATE(C5,"  ",D5)</f>
        <v>Técnico  Luis Ernesto Domguinguez Espinoza</v>
      </c>
      <c r="B30" s="65"/>
      <c r="C30" s="65"/>
      <c r="D30" s="65"/>
      <c r="E30" s="65"/>
      <c r="F30" s="65"/>
      <c r="G30" s="65"/>
    </row>
    <row r="31" spans="1:7">
      <c r="A31" s="68" t="s">
        <v>82</v>
      </c>
      <c r="B31" s="68"/>
      <c r="C31" s="68"/>
      <c r="D31" s="68"/>
      <c r="E31" s="68"/>
      <c r="F31" s="68"/>
      <c r="G31" s="68"/>
    </row>
    <row r="32" spans="1:7">
      <c r="A32" s="20"/>
      <c r="B32" s="20"/>
      <c r="C32" s="20"/>
      <c r="D32" s="20"/>
      <c r="E32" s="20"/>
      <c r="F32" s="20"/>
      <c r="G32" s="20"/>
    </row>
    <row r="33" spans="1:7">
      <c r="A33" s="20"/>
      <c r="B33" s="20"/>
      <c r="C33" s="20"/>
      <c r="D33" s="20"/>
      <c r="E33" s="20"/>
      <c r="F33" s="20"/>
      <c r="G33" s="20"/>
    </row>
    <row r="34" spans="1:7">
      <c r="A34" s="20"/>
      <c r="B34" s="20"/>
      <c r="C34" s="20"/>
      <c r="D34" s="20"/>
      <c r="E34" s="20"/>
      <c r="F34" s="20"/>
      <c r="G34" s="20"/>
    </row>
    <row r="35" spans="1:7">
      <c r="A35" s="20"/>
      <c r="B35" s="20"/>
      <c r="C35" s="20"/>
      <c r="D35" s="20"/>
      <c r="E35" s="20"/>
      <c r="F35" s="20"/>
      <c r="G35" s="20"/>
    </row>
    <row r="36" spans="1:7">
      <c r="A36" s="20"/>
      <c r="B36" s="20"/>
      <c r="C36" s="20"/>
      <c r="D36" s="20"/>
      <c r="E36" s="20"/>
      <c r="F36" s="20"/>
      <c r="G36" s="20"/>
    </row>
  </sheetData>
  <sheetProtection algorithmName="SHA-512" hashValue="gNa202BOTxveOZTJkRPwkx3ouP4gSBzlKBCG4PNa/JlM0jQJgc4TV960pXZUpETlFEjudbdnbaEYnklBk5JzJg==" saltValue="gaacRF8TCyZS6S9OtopKag==" spinCount="100000" sheet="1" objects="1" scenarios="1"/>
  <mergeCells count="13">
    <mergeCell ref="A31:G31"/>
    <mergeCell ref="D5:G5"/>
    <mergeCell ref="A2:G2"/>
    <mergeCell ref="C11:G14"/>
    <mergeCell ref="A11:B14"/>
    <mergeCell ref="A3:G3"/>
    <mergeCell ref="A4:B4"/>
    <mergeCell ref="A5:B5"/>
    <mergeCell ref="A7:B10"/>
    <mergeCell ref="C7:G10"/>
    <mergeCell ref="A26:G27"/>
    <mergeCell ref="A30:G30"/>
    <mergeCell ref="C4:D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9" orientation="landscape" horizontalDpi="4294967294" verticalDpi="4294967294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9" tint="0.39997558519241921"/>
    <pageSetUpPr fitToPage="1"/>
  </sheetPr>
  <dimension ref="A1:H28"/>
  <sheetViews>
    <sheetView zoomScaleNormal="100" workbookViewId="0">
      <selection activeCell="E12" sqref="E12:G12"/>
    </sheetView>
  </sheetViews>
  <sheetFormatPr baseColWidth="10" defaultColWidth="10.85546875" defaultRowHeight="15"/>
  <cols>
    <col min="1" max="1" width="15.140625" style="14" customWidth="1"/>
    <col min="2" max="2" width="29.42578125" style="14" customWidth="1"/>
    <col min="3" max="3" width="10.85546875" style="14"/>
    <col min="4" max="4" width="27.140625" style="14" customWidth="1"/>
    <col min="5" max="5" width="25.140625" style="14" customWidth="1"/>
    <col min="6" max="6" width="10.85546875" style="14"/>
    <col min="7" max="7" width="28.85546875" style="14" customWidth="1"/>
    <col min="8" max="16384" width="10.85546875" style="14"/>
  </cols>
  <sheetData>
    <row r="1" spans="1:8">
      <c r="A1" s="20"/>
      <c r="B1" s="20"/>
      <c r="C1" s="20"/>
      <c r="D1" s="20"/>
      <c r="E1" s="20"/>
      <c r="F1" s="20"/>
      <c r="G1" s="20"/>
    </row>
    <row r="2" spans="1:8" ht="21">
      <c r="A2" s="62" t="s">
        <v>42</v>
      </c>
      <c r="B2" s="62"/>
      <c r="C2" s="62"/>
      <c r="D2" s="62"/>
      <c r="E2" s="62"/>
      <c r="F2" s="62"/>
      <c r="G2" s="62"/>
      <c r="H2" s="32"/>
    </row>
    <row r="3" spans="1:8">
      <c r="A3" s="20"/>
      <c r="B3" s="20"/>
      <c r="C3" s="20"/>
      <c r="D3" s="20"/>
      <c r="E3" s="20"/>
      <c r="F3" s="20"/>
      <c r="G3" s="20"/>
    </row>
    <row r="4" spans="1:8" s="18" customFormat="1" ht="41.45" customHeight="1">
      <c r="A4" s="6" t="s">
        <v>8</v>
      </c>
      <c r="B4" s="77" t="s">
        <v>85</v>
      </c>
      <c r="C4" s="77"/>
      <c r="D4" s="49" t="str">
        <f>+'E1 - P2'!E4</f>
        <v>Valle de Chalco Solidaridad I</v>
      </c>
      <c r="E4" s="6" t="s">
        <v>78</v>
      </c>
      <c r="F4" s="88">
        <f>+'E1 - P2'!G4</f>
        <v>45670</v>
      </c>
      <c r="G4" s="89"/>
    </row>
    <row r="5" spans="1:8" ht="30" customHeight="1">
      <c r="A5" s="34" t="s">
        <v>52</v>
      </c>
      <c r="B5" s="85" t="s">
        <v>81</v>
      </c>
      <c r="C5" s="86"/>
      <c r="D5" s="69" t="str">
        <f>+'E1 - P2'!D5:G5</f>
        <v>Luis Ernesto Domguinguez Espinoza</v>
      </c>
      <c r="E5" s="70"/>
      <c r="F5" s="70"/>
      <c r="G5" s="71"/>
    </row>
    <row r="6" spans="1:8">
      <c r="A6" s="29"/>
      <c r="B6" s="20"/>
      <c r="C6" s="20"/>
      <c r="D6" s="20"/>
      <c r="E6" s="20"/>
      <c r="F6" s="20"/>
      <c r="G6" s="20"/>
    </row>
    <row r="7" spans="1:8">
      <c r="A7" s="35" t="s">
        <v>53</v>
      </c>
      <c r="B7" s="33" t="s">
        <v>130</v>
      </c>
    </row>
    <row r="8" spans="1:8">
      <c r="A8" s="29"/>
      <c r="B8" s="20"/>
      <c r="C8" s="20"/>
      <c r="D8" s="20"/>
      <c r="E8" s="20"/>
      <c r="F8" s="20"/>
      <c r="G8" s="20"/>
    </row>
    <row r="9" spans="1:8" ht="30">
      <c r="A9" s="6" t="s">
        <v>54</v>
      </c>
      <c r="B9" s="78" t="s">
        <v>142</v>
      </c>
      <c r="C9" s="79"/>
      <c r="D9" s="79"/>
      <c r="E9" s="79"/>
      <c r="F9" s="79"/>
      <c r="G9" s="80"/>
    </row>
    <row r="10" spans="1:8">
      <c r="A10" s="20"/>
      <c r="B10" s="20"/>
      <c r="C10" s="20"/>
      <c r="D10" s="20"/>
      <c r="E10" s="20"/>
      <c r="F10" s="20"/>
      <c r="G10" s="20"/>
    </row>
    <row r="11" spans="1:8" ht="28.5" customHeight="1">
      <c r="A11" s="17" t="s">
        <v>0</v>
      </c>
      <c r="B11" s="91" t="s">
        <v>17</v>
      </c>
      <c r="C11" s="91"/>
      <c r="D11" s="91"/>
      <c r="E11" s="92" t="s">
        <v>18</v>
      </c>
      <c r="F11" s="92"/>
      <c r="G11" s="92"/>
    </row>
    <row r="12" spans="1:8" ht="35.1" customHeight="1">
      <c r="A12" s="38">
        <v>1</v>
      </c>
      <c r="B12" s="78" t="s">
        <v>131</v>
      </c>
      <c r="C12" s="79"/>
      <c r="D12" s="80"/>
      <c r="E12" s="93" t="s">
        <v>132</v>
      </c>
      <c r="F12" s="94"/>
      <c r="G12" s="95"/>
    </row>
    <row r="13" spans="1:8" ht="35.1" customHeight="1">
      <c r="A13" s="38">
        <v>2</v>
      </c>
      <c r="B13" s="78" t="s">
        <v>133</v>
      </c>
      <c r="C13" s="79"/>
      <c r="D13" s="80"/>
      <c r="E13" s="93" t="s">
        <v>134</v>
      </c>
      <c r="F13" s="94"/>
      <c r="G13" s="95"/>
    </row>
    <row r="14" spans="1:8" ht="35.1" customHeight="1">
      <c r="A14" s="38">
        <v>3</v>
      </c>
      <c r="B14" s="78" t="s">
        <v>133</v>
      </c>
      <c r="C14" s="79"/>
      <c r="D14" s="80"/>
      <c r="E14" s="93" t="s">
        <v>135</v>
      </c>
      <c r="F14" s="94"/>
      <c r="G14" s="95"/>
    </row>
    <row r="15" spans="1:8" ht="35.1" customHeight="1">
      <c r="A15" s="38">
        <v>4</v>
      </c>
      <c r="B15" s="78" t="s">
        <v>136</v>
      </c>
      <c r="C15" s="79"/>
      <c r="D15" s="80"/>
      <c r="E15" s="93" t="s">
        <v>137</v>
      </c>
      <c r="F15" s="94"/>
      <c r="G15" s="95"/>
    </row>
    <row r="16" spans="1:8" ht="35.1" customHeight="1">
      <c r="A16" s="38">
        <v>5</v>
      </c>
      <c r="B16" s="78" t="s">
        <v>138</v>
      </c>
      <c r="C16" s="79"/>
      <c r="D16" s="80"/>
      <c r="E16" s="93" t="s">
        <v>139</v>
      </c>
      <c r="F16" s="94"/>
      <c r="G16" s="95"/>
    </row>
    <row r="17" spans="1:7" ht="35.1" customHeight="1">
      <c r="A17" s="38">
        <v>6</v>
      </c>
      <c r="B17" s="81" t="s">
        <v>140</v>
      </c>
      <c r="C17" s="82"/>
      <c r="D17" s="83"/>
      <c r="E17" s="96" t="s">
        <v>141</v>
      </c>
      <c r="F17" s="97"/>
      <c r="G17" s="98"/>
    </row>
    <row r="18" spans="1:7" ht="35.1" customHeight="1">
      <c r="A18" s="38"/>
      <c r="B18" s="84"/>
      <c r="C18" s="84"/>
      <c r="D18" s="84"/>
      <c r="E18" s="90"/>
      <c r="F18" s="90"/>
      <c r="G18" s="90"/>
    </row>
    <row r="19" spans="1:7">
      <c r="A19" s="20"/>
      <c r="B19" s="20"/>
      <c r="C19" s="20"/>
      <c r="D19" s="20"/>
      <c r="E19" s="20"/>
      <c r="F19" s="20"/>
      <c r="G19" s="20"/>
    </row>
    <row r="20" spans="1:7" ht="30" customHeight="1">
      <c r="A20" s="76" t="s">
        <v>19</v>
      </c>
      <c r="B20" s="76"/>
      <c r="C20" s="76"/>
      <c r="D20" s="76"/>
      <c r="E20" s="76"/>
      <c r="F20" s="76"/>
      <c r="G20" s="76"/>
    </row>
    <row r="21" spans="1:7">
      <c r="A21" s="20"/>
      <c r="B21" s="36"/>
      <c r="C21" s="36"/>
      <c r="D21" s="29"/>
      <c r="E21" s="20"/>
      <c r="F21" s="20"/>
      <c r="G21" s="20"/>
    </row>
    <row r="22" spans="1:7">
      <c r="A22" s="20"/>
      <c r="B22" s="28"/>
      <c r="C22" s="28"/>
      <c r="D22" s="29"/>
      <c r="E22" s="20"/>
      <c r="F22" s="20"/>
      <c r="G22" s="20"/>
    </row>
    <row r="23" spans="1:7" ht="15" customHeight="1">
      <c r="A23" s="20"/>
      <c r="B23" s="29"/>
      <c r="C23" s="29"/>
      <c r="D23" s="29"/>
      <c r="E23" s="20"/>
      <c r="F23" s="20"/>
      <c r="G23" s="20"/>
    </row>
    <row r="24" spans="1:7">
      <c r="A24" s="87" t="str">
        <f>CONCATENATE(B5,"  ",D5)</f>
        <v>Técnico  Luis Ernesto Domguinguez Espinoza</v>
      </c>
      <c r="B24" s="87"/>
      <c r="C24" s="87"/>
      <c r="D24" s="87"/>
      <c r="E24" s="87"/>
      <c r="F24" s="87"/>
      <c r="G24" s="87"/>
    </row>
    <row r="25" spans="1:7">
      <c r="A25" s="68" t="s">
        <v>82</v>
      </c>
      <c r="B25" s="68"/>
      <c r="C25" s="68"/>
      <c r="D25" s="68"/>
      <c r="E25" s="68"/>
      <c r="F25" s="68"/>
      <c r="G25" s="68"/>
    </row>
    <row r="26" spans="1:7">
      <c r="A26" s="20"/>
      <c r="B26" s="20"/>
      <c r="C26" s="20"/>
      <c r="D26" s="20"/>
      <c r="E26" s="20"/>
      <c r="F26" s="20"/>
      <c r="G26" s="20"/>
    </row>
    <row r="27" spans="1:7">
      <c r="A27" s="20"/>
      <c r="B27" s="20"/>
      <c r="C27" s="20"/>
      <c r="D27" s="20"/>
      <c r="E27" s="20"/>
      <c r="F27" s="20"/>
      <c r="G27" s="20"/>
    </row>
    <row r="28" spans="1:7">
      <c r="A28" s="20"/>
      <c r="B28" s="20"/>
      <c r="C28" s="20"/>
      <c r="D28" s="20"/>
      <c r="E28" s="20"/>
      <c r="F28" s="20"/>
      <c r="G28" s="20"/>
    </row>
  </sheetData>
  <sheetProtection algorithmName="SHA-512" hashValue="p3n3W0jNfu6+90zMzuefgUYP/EJyEgcAmn9LlbxU7wRydEmHO/7IBTeLVm3V1IgL1t7GbtVI/9PL5YMud+g80Q==" saltValue="Y3VubWk5SatRdFWiUVKeMg==" spinCount="100000" sheet="1" objects="1" scenarios="1"/>
  <mergeCells count="25">
    <mergeCell ref="A20:G20"/>
    <mergeCell ref="A24:G24"/>
    <mergeCell ref="A25:G25"/>
    <mergeCell ref="A2:G2"/>
    <mergeCell ref="F4:G4"/>
    <mergeCell ref="B9:G9"/>
    <mergeCell ref="E18:G18"/>
    <mergeCell ref="B11:D11"/>
    <mergeCell ref="E11:G11"/>
    <mergeCell ref="E12:G12"/>
    <mergeCell ref="E13:G13"/>
    <mergeCell ref="E14:G14"/>
    <mergeCell ref="E15:G15"/>
    <mergeCell ref="B12:D12"/>
    <mergeCell ref="E16:G16"/>
    <mergeCell ref="E17:G17"/>
    <mergeCell ref="B16:D16"/>
    <mergeCell ref="B17:D17"/>
    <mergeCell ref="B18:D18"/>
    <mergeCell ref="B4:C4"/>
    <mergeCell ref="B13:D13"/>
    <mergeCell ref="B14:D14"/>
    <mergeCell ref="B15:D15"/>
    <mergeCell ref="B5:C5"/>
    <mergeCell ref="D5:G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5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9" tint="0.39997558519241921"/>
    <pageSetUpPr fitToPage="1"/>
  </sheetPr>
  <dimension ref="A1:G34"/>
  <sheetViews>
    <sheetView zoomScaleNormal="100" workbookViewId="0">
      <selection activeCell="A2" sqref="A2:G2"/>
    </sheetView>
  </sheetViews>
  <sheetFormatPr baseColWidth="10" defaultColWidth="10.85546875" defaultRowHeight="15"/>
  <cols>
    <col min="1" max="1" width="4.42578125" style="14" customWidth="1"/>
    <col min="2" max="2" width="21.28515625" style="14" customWidth="1"/>
    <col min="3" max="3" width="14.140625" style="14" customWidth="1"/>
    <col min="4" max="4" width="45.85546875" style="14" customWidth="1"/>
    <col min="5" max="5" width="13.140625" style="18" customWidth="1"/>
    <col min="6" max="6" width="32.28515625" style="14" customWidth="1"/>
    <col min="7" max="7" width="33.5703125" style="14" customWidth="1"/>
    <col min="8" max="16384" width="10.85546875" style="14"/>
  </cols>
  <sheetData>
    <row r="1" spans="1:7">
      <c r="A1" s="20"/>
      <c r="B1" s="20"/>
      <c r="C1" s="20"/>
      <c r="D1" s="20"/>
      <c r="E1" s="21"/>
      <c r="F1" s="20"/>
      <c r="G1" s="20"/>
    </row>
    <row r="2" spans="1:7" ht="20.25">
      <c r="A2" s="62" t="s">
        <v>43</v>
      </c>
      <c r="B2" s="62"/>
      <c r="C2" s="62"/>
      <c r="D2" s="62"/>
      <c r="E2" s="62"/>
      <c r="F2" s="62"/>
      <c r="G2" s="62"/>
    </row>
    <row r="3" spans="1:7">
      <c r="A3" s="20"/>
      <c r="B3" s="20"/>
      <c r="C3" s="20"/>
      <c r="D3" s="20"/>
      <c r="E3" s="21"/>
      <c r="F3" s="20"/>
      <c r="G3" s="20"/>
    </row>
    <row r="4" spans="1:7" ht="45">
      <c r="A4" s="63" t="s">
        <v>8</v>
      </c>
      <c r="B4" s="63"/>
      <c r="C4" s="77" t="s">
        <v>85</v>
      </c>
      <c r="D4" s="77"/>
      <c r="E4" s="55" t="str">
        <f>+'E1 - P3'!D4</f>
        <v>Valle de Chalco Solidaridad I</v>
      </c>
      <c r="F4" s="6" t="s">
        <v>78</v>
      </c>
      <c r="G4" s="52">
        <f>+'E1 - P3'!F4</f>
        <v>45670</v>
      </c>
    </row>
    <row r="5" spans="1:7" ht="26.45" customHeight="1">
      <c r="A5" s="63" t="s">
        <v>9</v>
      </c>
      <c r="B5" s="63"/>
      <c r="C5" s="31" t="s">
        <v>81</v>
      </c>
      <c r="D5" s="103" t="str">
        <f>+'E1 - P3'!C5:G5</f>
        <v>Luis Ernesto Domguinguez Espinoza</v>
      </c>
      <c r="E5" s="103"/>
      <c r="F5" s="103"/>
      <c r="G5" s="103"/>
    </row>
    <row r="6" spans="1:7">
      <c r="A6" s="20"/>
      <c r="B6" s="20"/>
      <c r="C6" s="20"/>
      <c r="D6" s="20"/>
      <c r="E6" s="21"/>
      <c r="F6" s="20"/>
      <c r="G6" s="20"/>
    </row>
    <row r="7" spans="1:7" ht="24.75" customHeight="1">
      <c r="A7" s="100" t="s">
        <v>31</v>
      </c>
      <c r="B7" s="100"/>
      <c r="C7" s="66" t="s">
        <v>86</v>
      </c>
      <c r="D7" s="66"/>
      <c r="E7" s="66"/>
      <c r="F7" s="66"/>
      <c r="G7" s="66"/>
    </row>
    <row r="8" spans="1:7" ht="21" customHeight="1">
      <c r="A8" s="100" t="s">
        <v>30</v>
      </c>
      <c r="B8" s="100"/>
      <c r="C8" s="74" t="s">
        <v>75</v>
      </c>
      <c r="D8" s="74"/>
      <c r="E8" s="74"/>
      <c r="F8" s="74"/>
      <c r="G8" s="74"/>
    </row>
    <row r="9" spans="1:7" ht="29.1" customHeight="1">
      <c r="A9" s="100" t="s">
        <v>28</v>
      </c>
      <c r="B9" s="100"/>
      <c r="C9" s="99" t="s">
        <v>84</v>
      </c>
      <c r="D9" s="99"/>
      <c r="E9" s="101" t="s">
        <v>32</v>
      </c>
      <c r="F9" s="101"/>
      <c r="G9" s="59" t="s">
        <v>165</v>
      </c>
    </row>
    <row r="10" spans="1:7" ht="25.5" customHeight="1">
      <c r="A10" s="100" t="s">
        <v>29</v>
      </c>
      <c r="B10" s="100"/>
      <c r="C10" s="102">
        <v>45585</v>
      </c>
      <c r="D10" s="102"/>
      <c r="E10" s="101" t="s">
        <v>47</v>
      </c>
      <c r="F10" s="101"/>
      <c r="G10" s="60" t="s">
        <v>166</v>
      </c>
    </row>
    <row r="11" spans="1:7" ht="27.75" customHeight="1">
      <c r="A11" s="100" t="s">
        <v>34</v>
      </c>
      <c r="B11" s="100"/>
      <c r="C11" s="66" t="s">
        <v>87</v>
      </c>
      <c r="D11" s="66"/>
      <c r="E11" s="66"/>
      <c r="F11" s="66"/>
      <c r="G11" s="66"/>
    </row>
    <row r="12" spans="1:7" ht="29.25" customHeight="1">
      <c r="A12" s="100" t="s">
        <v>33</v>
      </c>
      <c r="B12" s="100"/>
      <c r="C12" s="99" t="s">
        <v>88</v>
      </c>
      <c r="D12" s="66"/>
      <c r="E12" s="66"/>
      <c r="F12" s="66"/>
      <c r="G12" s="66"/>
    </row>
    <row r="13" spans="1:7" ht="48.75" customHeight="1">
      <c r="A13" s="100" t="s">
        <v>35</v>
      </c>
      <c r="B13" s="100"/>
      <c r="C13" s="73" t="s">
        <v>83</v>
      </c>
      <c r="D13" s="74"/>
      <c r="E13" s="74"/>
      <c r="F13" s="74"/>
      <c r="G13" s="74"/>
    </row>
    <row r="14" spans="1:7" ht="15.75">
      <c r="A14" s="92" t="s">
        <v>23</v>
      </c>
      <c r="B14" s="92"/>
      <c r="C14" s="92"/>
      <c r="D14" s="92"/>
      <c r="E14" s="92"/>
      <c r="F14" s="92"/>
      <c r="G14" s="92"/>
    </row>
    <row r="15" spans="1:7" ht="5.45" customHeight="1">
      <c r="A15" s="20"/>
      <c r="B15" s="20"/>
      <c r="C15" s="20"/>
      <c r="D15" s="20"/>
      <c r="E15" s="21"/>
      <c r="F15" s="20"/>
      <c r="G15" s="20"/>
    </row>
    <row r="16" spans="1:7" s="15" customFormat="1" ht="27.95" customHeight="1">
      <c r="A16" s="17" t="s">
        <v>0</v>
      </c>
      <c r="B16" s="92" t="s">
        <v>24</v>
      </c>
      <c r="C16" s="92"/>
      <c r="D16" s="17" t="s">
        <v>36</v>
      </c>
      <c r="E16" s="27" t="s">
        <v>25</v>
      </c>
      <c r="F16" s="17" t="s">
        <v>26</v>
      </c>
      <c r="G16" s="17" t="s">
        <v>27</v>
      </c>
    </row>
    <row r="17" spans="1:7" ht="27" customHeight="1">
      <c r="A17" s="19">
        <v>1</v>
      </c>
      <c r="B17" s="105" t="s">
        <v>65</v>
      </c>
      <c r="C17" s="67"/>
      <c r="D17" s="19" t="s">
        <v>64</v>
      </c>
      <c r="E17" s="45">
        <v>4</v>
      </c>
      <c r="F17" s="46">
        <f>+C10</f>
        <v>45585</v>
      </c>
      <c r="G17" s="46">
        <f t="shared" ref="G17:G20" si="0">IFERROR((F17+E17)," ")</f>
        <v>45589</v>
      </c>
    </row>
    <row r="18" spans="1:7" ht="27" customHeight="1">
      <c r="A18" s="19">
        <v>2</v>
      </c>
      <c r="B18" s="105" t="s">
        <v>70</v>
      </c>
      <c r="C18" s="67"/>
      <c r="D18" s="19" t="s">
        <v>73</v>
      </c>
      <c r="E18" s="45">
        <v>3</v>
      </c>
      <c r="F18" s="46">
        <f>IF(E18&lt;= 0," ",G17+1)</f>
        <v>45590</v>
      </c>
      <c r="G18" s="46">
        <f t="shared" si="0"/>
        <v>45593</v>
      </c>
    </row>
    <row r="19" spans="1:7" ht="27" customHeight="1">
      <c r="A19" s="19">
        <v>3</v>
      </c>
      <c r="B19" s="105" t="s">
        <v>71</v>
      </c>
      <c r="C19" s="67"/>
      <c r="D19" s="19" t="s">
        <v>74</v>
      </c>
      <c r="E19" s="45">
        <v>3</v>
      </c>
      <c r="F19" s="46">
        <f t="shared" ref="F19:F24" si="1">IF(E19&lt;= 0," ",G18+1)</f>
        <v>45594</v>
      </c>
      <c r="G19" s="46">
        <f t="shared" si="0"/>
        <v>45597</v>
      </c>
    </row>
    <row r="20" spans="1:7" ht="27" customHeight="1">
      <c r="A20" s="19">
        <v>4</v>
      </c>
      <c r="B20" s="67" t="s">
        <v>72</v>
      </c>
      <c r="C20" s="67"/>
      <c r="D20" s="19" t="s">
        <v>72</v>
      </c>
      <c r="E20" s="45">
        <v>1</v>
      </c>
      <c r="F20" s="46">
        <f t="shared" si="1"/>
        <v>45598</v>
      </c>
      <c r="G20" s="46">
        <f t="shared" si="0"/>
        <v>45599</v>
      </c>
    </row>
    <row r="21" spans="1:7" ht="27" customHeight="1">
      <c r="A21" s="19"/>
      <c r="B21" s="106"/>
      <c r="C21" s="107"/>
      <c r="D21" s="19"/>
      <c r="E21" s="45"/>
      <c r="F21" s="46" t="str">
        <f t="shared" si="1"/>
        <v xml:space="preserve"> </v>
      </c>
      <c r="G21" s="46" t="str">
        <f>IFERROR((F21+E21)," ")</f>
        <v xml:space="preserve"> </v>
      </c>
    </row>
    <row r="22" spans="1:7" ht="27" customHeight="1">
      <c r="A22" s="19"/>
      <c r="B22" s="67"/>
      <c r="C22" s="67"/>
      <c r="D22" s="19"/>
      <c r="E22" s="45"/>
      <c r="F22" s="46" t="str">
        <f t="shared" si="1"/>
        <v xml:space="preserve"> </v>
      </c>
      <c r="G22" s="46" t="str">
        <f t="shared" ref="G22:G24" si="2">IFERROR((F22+E22)," ")</f>
        <v xml:space="preserve"> </v>
      </c>
    </row>
    <row r="23" spans="1:7" ht="27" customHeight="1">
      <c r="A23" s="19"/>
      <c r="B23" s="67"/>
      <c r="C23" s="67"/>
      <c r="D23" s="19"/>
      <c r="E23" s="45"/>
      <c r="F23" s="46" t="str">
        <f t="shared" si="1"/>
        <v xml:space="preserve"> </v>
      </c>
      <c r="G23" s="46" t="str">
        <f t="shared" si="2"/>
        <v xml:space="preserve"> </v>
      </c>
    </row>
    <row r="24" spans="1:7" ht="27" customHeight="1">
      <c r="A24" s="19"/>
      <c r="B24" s="67"/>
      <c r="C24" s="67"/>
      <c r="D24" s="19"/>
      <c r="E24" s="45"/>
      <c r="F24" s="46" t="str">
        <f t="shared" si="1"/>
        <v xml:space="preserve"> </v>
      </c>
      <c r="G24" s="46" t="str">
        <f t="shared" si="2"/>
        <v xml:space="preserve"> </v>
      </c>
    </row>
    <row r="25" spans="1:7">
      <c r="A25" s="20"/>
      <c r="B25" s="20"/>
      <c r="C25" s="20"/>
      <c r="D25" s="20"/>
      <c r="E25" s="21"/>
      <c r="F25" s="20"/>
      <c r="G25" s="20"/>
    </row>
    <row r="26" spans="1:7" ht="29.25" customHeight="1">
      <c r="A26" s="20"/>
      <c r="B26" s="76" t="s">
        <v>38</v>
      </c>
      <c r="C26" s="76"/>
      <c r="D26" s="29"/>
      <c r="E26" s="28"/>
      <c r="F26" s="76" t="s">
        <v>37</v>
      </c>
      <c r="G26" s="76"/>
    </row>
    <row r="27" spans="1:7">
      <c r="A27" s="20"/>
      <c r="B27" s="28"/>
      <c r="C27" s="28"/>
      <c r="D27" s="29"/>
      <c r="E27" s="28"/>
      <c r="F27" s="28"/>
      <c r="G27" s="28"/>
    </row>
    <row r="28" spans="1:7" ht="15" customHeight="1">
      <c r="A28" s="20"/>
      <c r="B28" s="29"/>
      <c r="C28" s="29"/>
      <c r="D28" s="29"/>
      <c r="E28" s="28"/>
      <c r="F28" s="29"/>
      <c r="G28" s="29"/>
    </row>
    <row r="29" spans="1:7" ht="26.25" customHeight="1">
      <c r="A29" s="20"/>
      <c r="B29" s="109" t="str">
        <f>+G10</f>
        <v>Lic. Luis Ernesto Dominguez Espinoza</v>
      </c>
      <c r="C29" s="109"/>
      <c r="D29" s="29"/>
      <c r="E29" s="28"/>
      <c r="F29" s="108" t="str">
        <f>CONCATENATE(C5,"  ",D5)</f>
        <v>Técnico  Luis Ernesto Domguinguez Espinoza</v>
      </c>
      <c r="G29" s="108"/>
    </row>
    <row r="30" spans="1:7">
      <c r="A30" s="20"/>
      <c r="B30" s="104" t="s">
        <v>82</v>
      </c>
      <c r="C30" s="104"/>
      <c r="D30" s="29"/>
      <c r="E30" s="28"/>
      <c r="F30" s="104" t="s">
        <v>82</v>
      </c>
      <c r="G30" s="104"/>
    </row>
    <row r="31" spans="1:7">
      <c r="A31" s="20"/>
      <c r="B31" s="29"/>
      <c r="C31" s="29"/>
      <c r="D31" s="29"/>
      <c r="E31" s="28"/>
      <c r="F31" s="29"/>
      <c r="G31" s="29"/>
    </row>
    <row r="32" spans="1:7">
      <c r="A32" s="20"/>
      <c r="B32" s="29"/>
      <c r="C32" s="29"/>
      <c r="D32" s="29"/>
      <c r="E32" s="28"/>
      <c r="F32" s="29"/>
      <c r="G32" s="29"/>
    </row>
    <row r="33" spans="1:7">
      <c r="A33" s="20"/>
      <c r="B33" s="20"/>
      <c r="C33" s="20"/>
      <c r="D33" s="20"/>
      <c r="E33" s="21"/>
      <c r="F33" s="20"/>
      <c r="G33" s="20"/>
    </row>
    <row r="34" spans="1:7">
      <c r="D34" s="30"/>
    </row>
  </sheetData>
  <sheetProtection algorithmName="SHA-512" hashValue="u8CYggxhtxJpM/7svdVtRI2yt54HsOs352jCj/UOqZixh5eCg0+psFIBADJGmtC2AnGAHYAb9R/zv8wuUqhlMA==" saltValue="/oHJ4fME3LuKS/RkfHNEcA==" spinCount="100000" sheet="1" objects="1" scenarios="1"/>
  <mergeCells count="37">
    <mergeCell ref="F30:G30"/>
    <mergeCell ref="B17:C17"/>
    <mergeCell ref="B18:C18"/>
    <mergeCell ref="B19:C19"/>
    <mergeCell ref="B20:C20"/>
    <mergeCell ref="B21:C21"/>
    <mergeCell ref="B30:C30"/>
    <mergeCell ref="B26:C26"/>
    <mergeCell ref="B22:C22"/>
    <mergeCell ref="B23:C23"/>
    <mergeCell ref="B24:C24"/>
    <mergeCell ref="F29:G29"/>
    <mergeCell ref="B29:C29"/>
    <mergeCell ref="A10:B10"/>
    <mergeCell ref="A2:G2"/>
    <mergeCell ref="A4:B4"/>
    <mergeCell ref="A5:B5"/>
    <mergeCell ref="A7:B7"/>
    <mergeCell ref="C7:G7"/>
    <mergeCell ref="C8:G8"/>
    <mergeCell ref="A8:B8"/>
    <mergeCell ref="E9:F9"/>
    <mergeCell ref="E10:F10"/>
    <mergeCell ref="C9:D9"/>
    <mergeCell ref="C10:D10"/>
    <mergeCell ref="A9:B9"/>
    <mergeCell ref="D5:G5"/>
    <mergeCell ref="C4:D4"/>
    <mergeCell ref="B16:C16"/>
    <mergeCell ref="F26:G26"/>
    <mergeCell ref="C11:G11"/>
    <mergeCell ref="C12:G12"/>
    <mergeCell ref="C13:G13"/>
    <mergeCell ref="A14:G14"/>
    <mergeCell ref="A11:B11"/>
    <mergeCell ref="A12:B12"/>
    <mergeCell ref="A13:B13"/>
  </mergeCells>
  <printOptions horizontalCentered="1" verticalCentered="1"/>
  <pageMargins left="0.51181102362204722" right="0.51181102362204722" top="0.55118110236220474" bottom="0.55118110236220474" header="0.11811023622047245" footer="0.11811023622047245"/>
  <pageSetup scale="69" orientation="landscape" horizontalDpi="4294967292" verticalDpi="4294967295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9" tint="0.39997558519241921"/>
    <pageSetUpPr fitToPage="1"/>
  </sheetPr>
  <dimension ref="A1:G30"/>
  <sheetViews>
    <sheetView zoomScaleNormal="100" workbookViewId="0">
      <selection activeCell="C7" sqref="C7:G7"/>
    </sheetView>
  </sheetViews>
  <sheetFormatPr baseColWidth="10" defaultColWidth="10.85546875" defaultRowHeight="15"/>
  <cols>
    <col min="1" max="1" width="4.42578125" style="14" customWidth="1"/>
    <col min="2" max="2" width="28.5703125" style="14" customWidth="1"/>
    <col min="3" max="3" width="49.85546875" style="14" customWidth="1"/>
    <col min="4" max="4" width="14.42578125" style="18" customWidth="1"/>
    <col min="5" max="5" width="12.42578125" style="14" customWidth="1"/>
    <col min="6" max="6" width="15.140625" style="14" customWidth="1"/>
    <col min="7" max="7" width="30.5703125" style="14" customWidth="1"/>
    <col min="8" max="16384" width="10.85546875" style="14"/>
  </cols>
  <sheetData>
    <row r="1" spans="1:7">
      <c r="A1" s="20"/>
      <c r="B1" s="20"/>
      <c r="C1" s="20"/>
      <c r="D1" s="21"/>
      <c r="E1" s="20"/>
      <c r="F1" s="20"/>
      <c r="G1" s="20"/>
    </row>
    <row r="2" spans="1:7" ht="20.25">
      <c r="A2" s="62" t="s">
        <v>39</v>
      </c>
      <c r="B2" s="62"/>
      <c r="C2" s="62"/>
      <c r="D2" s="62"/>
      <c r="E2" s="62"/>
      <c r="F2" s="62"/>
      <c r="G2" s="62"/>
    </row>
    <row r="3" spans="1:7">
      <c r="A3" s="20"/>
      <c r="B3" s="20"/>
      <c r="C3" s="20"/>
      <c r="D3" s="21"/>
      <c r="E3" s="20"/>
      <c r="F3" s="20"/>
      <c r="G3" s="20"/>
    </row>
    <row r="4" spans="1:7" ht="27.95" customHeight="1">
      <c r="A4" s="100" t="s">
        <v>8</v>
      </c>
      <c r="B4" s="100"/>
      <c r="C4" s="42" t="s">
        <v>85</v>
      </c>
      <c r="D4" s="113" t="str">
        <f>+'E2 - P1'!E4</f>
        <v>Valle de Chalco Solidaridad I</v>
      </c>
      <c r="E4" s="113"/>
      <c r="F4" s="6" t="s">
        <v>78</v>
      </c>
      <c r="G4" s="52">
        <f>+'E2 - P1'!G4</f>
        <v>45670</v>
      </c>
    </row>
    <row r="5" spans="1:7" ht="24.95" customHeight="1">
      <c r="A5" s="100" t="s">
        <v>9</v>
      </c>
      <c r="B5" s="100"/>
      <c r="C5" s="16" t="s">
        <v>81</v>
      </c>
      <c r="D5" s="69" t="str">
        <f>+'E2 - P1'!D5:G5</f>
        <v>Luis Ernesto Domguinguez Espinoza</v>
      </c>
      <c r="E5" s="70"/>
      <c r="F5" s="70"/>
      <c r="G5" s="71"/>
    </row>
    <row r="6" spans="1:7">
      <c r="A6" s="20"/>
      <c r="B6" s="20"/>
      <c r="C6" s="20"/>
      <c r="D6" s="21"/>
      <c r="E6" s="20"/>
      <c r="F6" s="20"/>
      <c r="G6" s="20"/>
    </row>
    <row r="7" spans="1:7" ht="24.75" customHeight="1">
      <c r="A7" s="100" t="s">
        <v>31</v>
      </c>
      <c r="B7" s="100"/>
      <c r="C7" s="112" t="s">
        <v>164</v>
      </c>
      <c r="D7" s="112"/>
      <c r="E7" s="112"/>
      <c r="F7" s="112"/>
      <c r="G7" s="112"/>
    </row>
    <row r="8" spans="1:7" ht="21" customHeight="1">
      <c r="A8" s="100" t="s">
        <v>30</v>
      </c>
      <c r="B8" s="100"/>
      <c r="C8" s="74" t="s">
        <v>76</v>
      </c>
      <c r="D8" s="74"/>
      <c r="E8" s="74"/>
      <c r="F8" s="74"/>
      <c r="G8" s="74"/>
    </row>
    <row r="9" spans="1:7" ht="29.1" customHeight="1">
      <c r="A9" s="100" t="s">
        <v>28</v>
      </c>
      <c r="B9" s="100"/>
      <c r="C9" s="112" t="s">
        <v>163</v>
      </c>
      <c r="D9" s="112"/>
      <c r="E9" s="110" t="s">
        <v>32</v>
      </c>
      <c r="F9" s="110"/>
      <c r="G9" s="49" t="str">
        <f>+'E2 - P1'!G9</f>
        <v>Soriana</v>
      </c>
    </row>
    <row r="10" spans="1:7" ht="25.5" customHeight="1">
      <c r="A10" s="100" t="s">
        <v>29</v>
      </c>
      <c r="B10" s="100"/>
      <c r="C10" s="102">
        <v>45701</v>
      </c>
      <c r="D10" s="102"/>
      <c r="E10" s="110" t="s">
        <v>47</v>
      </c>
      <c r="F10" s="110"/>
      <c r="G10" s="48" t="str">
        <f>+'E2 - P1'!G10</f>
        <v>Lic. Luis Ernesto Dominguez Espinoza</v>
      </c>
    </row>
    <row r="11" spans="1:7" ht="51" customHeight="1">
      <c r="A11" s="100" t="s">
        <v>48</v>
      </c>
      <c r="B11" s="100"/>
      <c r="C11" s="73" t="s">
        <v>77</v>
      </c>
      <c r="D11" s="74"/>
      <c r="E11" s="74"/>
      <c r="F11" s="74"/>
      <c r="G11" s="74"/>
    </row>
    <row r="12" spans="1:7" ht="6" customHeight="1">
      <c r="A12" s="22"/>
      <c r="B12" s="23"/>
      <c r="C12" s="24"/>
      <c r="D12" s="25"/>
      <c r="E12" s="24"/>
      <c r="F12" s="24"/>
      <c r="G12" s="26"/>
    </row>
    <row r="13" spans="1:7" ht="15.75">
      <c r="A13" s="92" t="s">
        <v>23</v>
      </c>
      <c r="B13" s="92"/>
      <c r="C13" s="92"/>
      <c r="D13" s="92"/>
      <c r="E13" s="92"/>
      <c r="F13" s="92"/>
      <c r="G13" s="92"/>
    </row>
    <row r="14" spans="1:7" ht="4.5" customHeight="1">
      <c r="A14" s="20"/>
      <c r="B14" s="20"/>
      <c r="C14" s="20"/>
      <c r="D14" s="21"/>
      <c r="E14" s="20"/>
      <c r="F14" s="20"/>
      <c r="G14" s="20"/>
    </row>
    <row r="15" spans="1:7" s="15" customFormat="1" ht="27.95" customHeight="1">
      <c r="A15" s="17" t="s">
        <v>0</v>
      </c>
      <c r="B15" s="17" t="s">
        <v>24</v>
      </c>
      <c r="C15" s="17" t="s">
        <v>36</v>
      </c>
      <c r="D15" s="27" t="s">
        <v>25</v>
      </c>
      <c r="E15" s="17" t="s">
        <v>26</v>
      </c>
      <c r="F15" s="17" t="s">
        <v>27</v>
      </c>
      <c r="G15" s="17" t="s">
        <v>40</v>
      </c>
    </row>
    <row r="16" spans="1:7" ht="27" customHeight="1">
      <c r="A16" s="19">
        <v>1</v>
      </c>
      <c r="B16" s="43" t="s">
        <v>143</v>
      </c>
      <c r="C16" s="43" t="s">
        <v>144</v>
      </c>
      <c r="D16" s="45">
        <v>8</v>
      </c>
      <c r="E16" s="46">
        <f>+C10</f>
        <v>45701</v>
      </c>
      <c r="F16" s="46">
        <f>IFERROR((D16+E16)," ")</f>
        <v>45709</v>
      </c>
      <c r="G16" s="59" t="s">
        <v>157</v>
      </c>
    </row>
    <row r="17" spans="1:7" ht="27" customHeight="1">
      <c r="A17" s="19">
        <v>2</v>
      </c>
      <c r="B17" s="43" t="s">
        <v>145</v>
      </c>
      <c r="C17" s="19" t="s">
        <v>146</v>
      </c>
      <c r="D17" s="45">
        <v>2</v>
      </c>
      <c r="E17" s="46">
        <f>IF(D17&lt;= 0," ",F16+1)</f>
        <v>45710</v>
      </c>
      <c r="F17" s="46">
        <f>IFERROR((D17+E17)," ")</f>
        <v>45712</v>
      </c>
      <c r="G17" s="60" t="s">
        <v>158</v>
      </c>
    </row>
    <row r="18" spans="1:7" ht="27" customHeight="1">
      <c r="A18" s="19">
        <v>3</v>
      </c>
      <c r="B18" s="43" t="s">
        <v>147</v>
      </c>
      <c r="C18" s="43" t="s">
        <v>148</v>
      </c>
      <c r="D18" s="45">
        <v>1</v>
      </c>
      <c r="E18" s="46">
        <f>IF(D18&lt;= 0," ",F17+1)</f>
        <v>45713</v>
      </c>
      <c r="F18" s="46">
        <f t="shared" ref="F18:F23" si="0">IFERROR((D18+E18)," ")</f>
        <v>45714</v>
      </c>
      <c r="G18" s="60" t="s">
        <v>159</v>
      </c>
    </row>
    <row r="19" spans="1:7" ht="27" customHeight="1">
      <c r="A19" s="19">
        <v>4</v>
      </c>
      <c r="B19" s="43" t="s">
        <v>149</v>
      </c>
      <c r="C19" s="19" t="s">
        <v>150</v>
      </c>
      <c r="D19" s="45">
        <v>1</v>
      </c>
      <c r="E19" s="46">
        <f>IF(D19&lt;= 0," ",F18+1)</f>
        <v>45715</v>
      </c>
      <c r="F19" s="46">
        <f t="shared" si="0"/>
        <v>45716</v>
      </c>
      <c r="G19" s="59" t="s">
        <v>160</v>
      </c>
    </row>
    <row r="20" spans="1:7" ht="27" customHeight="1">
      <c r="A20" s="19">
        <v>5</v>
      </c>
      <c r="B20" s="19" t="s">
        <v>151</v>
      </c>
      <c r="C20" s="43" t="s">
        <v>152</v>
      </c>
      <c r="D20" s="45">
        <v>2</v>
      </c>
      <c r="E20" s="46">
        <f>IF(D20&lt;= 0," ",F19+1)</f>
        <v>45717</v>
      </c>
      <c r="F20" s="46">
        <f t="shared" si="0"/>
        <v>45719</v>
      </c>
      <c r="G20" s="59" t="s">
        <v>161</v>
      </c>
    </row>
    <row r="21" spans="1:7" ht="27" customHeight="1">
      <c r="A21" s="19">
        <v>6</v>
      </c>
      <c r="B21" s="19" t="s">
        <v>153</v>
      </c>
      <c r="C21" s="43" t="s">
        <v>154</v>
      </c>
      <c r="D21" s="45">
        <v>1</v>
      </c>
      <c r="E21" s="46">
        <f t="shared" ref="E21:E23" si="1">IF(D21&lt;= 0," ",F20+1)</f>
        <v>45720</v>
      </c>
      <c r="F21" s="46">
        <f t="shared" si="0"/>
        <v>45721</v>
      </c>
      <c r="G21" s="59" t="s">
        <v>161</v>
      </c>
    </row>
    <row r="22" spans="1:7" ht="27" customHeight="1">
      <c r="A22" s="19">
        <v>7</v>
      </c>
      <c r="B22" s="19" t="s">
        <v>155</v>
      </c>
      <c r="C22" s="19" t="s">
        <v>156</v>
      </c>
      <c r="D22" s="45">
        <v>1</v>
      </c>
      <c r="E22" s="46">
        <f t="shared" si="1"/>
        <v>45722</v>
      </c>
      <c r="F22" s="46">
        <f t="shared" si="0"/>
        <v>45723</v>
      </c>
      <c r="G22" s="59" t="s">
        <v>162</v>
      </c>
    </row>
    <row r="23" spans="1:7" ht="27" customHeight="1">
      <c r="A23" s="19"/>
      <c r="B23" s="19"/>
      <c r="C23" s="19"/>
      <c r="D23" s="45"/>
      <c r="E23" s="46" t="str">
        <f t="shared" si="1"/>
        <v xml:space="preserve"> </v>
      </c>
      <c r="F23" s="46" t="str">
        <f t="shared" si="0"/>
        <v xml:space="preserve"> </v>
      </c>
      <c r="G23" s="43"/>
    </row>
    <row r="24" spans="1:7">
      <c r="B24" s="20"/>
      <c r="C24" s="20"/>
      <c r="D24" s="21"/>
      <c r="E24" s="20"/>
      <c r="F24" s="20"/>
      <c r="G24" s="20"/>
    </row>
    <row r="25" spans="1:7" ht="29.25" customHeight="1">
      <c r="B25" s="76" t="s">
        <v>38</v>
      </c>
      <c r="C25" s="76"/>
      <c r="D25" s="28"/>
      <c r="E25" s="76" t="s">
        <v>37</v>
      </c>
      <c r="F25" s="76"/>
      <c r="G25" s="76"/>
    </row>
    <row r="26" spans="1:7">
      <c r="B26" s="28"/>
      <c r="C26" s="28"/>
      <c r="D26" s="28"/>
      <c r="E26" s="29"/>
      <c r="F26" s="28"/>
      <c r="G26" s="28"/>
    </row>
    <row r="27" spans="1:7" ht="15" customHeight="1">
      <c r="B27" s="29"/>
      <c r="C27" s="29"/>
      <c r="D27" s="28"/>
      <c r="E27" s="29"/>
      <c r="F27" s="29"/>
      <c r="G27" s="29"/>
    </row>
    <row r="28" spans="1:7">
      <c r="B28" s="111" t="str">
        <f>+G10</f>
        <v>Lic. Luis Ernesto Dominguez Espinoza</v>
      </c>
      <c r="C28" s="111"/>
      <c r="D28" s="28"/>
      <c r="E28" s="108" t="str">
        <f>CONCATENATE(C5,"  ",D5)</f>
        <v>Técnico  Luis Ernesto Domguinguez Espinoza</v>
      </c>
      <c r="F28" s="108"/>
      <c r="G28" s="108"/>
    </row>
    <row r="29" spans="1:7">
      <c r="B29" s="104" t="s">
        <v>82</v>
      </c>
      <c r="C29" s="104"/>
      <c r="D29" s="28"/>
      <c r="E29" s="104" t="s">
        <v>82</v>
      </c>
      <c r="F29" s="104"/>
      <c r="G29" s="104"/>
    </row>
    <row r="30" spans="1:7">
      <c r="B30" s="29"/>
      <c r="C30" s="29"/>
      <c r="D30" s="28"/>
      <c r="E30" s="29"/>
      <c r="F30" s="29"/>
      <c r="G30" s="29"/>
    </row>
  </sheetData>
  <sheetProtection algorithmName="SHA-512" hashValue="BMniZtPooV+aJpoJal/8pfimtF8xUS4xO7WYJNy/OKEz7JeR/apJGdVl1BYFPCp0dl5a0t1rgqQyUzXS41/PLQ==" saltValue="DJynPlk8WfWXwU9B6g0QiQ==" spinCount="100000" sheet="1" objects="1" scenarios="1"/>
  <mergeCells count="24">
    <mergeCell ref="A4:B4"/>
    <mergeCell ref="A5:B5"/>
    <mergeCell ref="A2:G2"/>
    <mergeCell ref="D5:G5"/>
    <mergeCell ref="D4:E4"/>
    <mergeCell ref="A7:B7"/>
    <mergeCell ref="C7:G7"/>
    <mergeCell ref="A8:B8"/>
    <mergeCell ref="C8:G8"/>
    <mergeCell ref="A9:B9"/>
    <mergeCell ref="C9:D9"/>
    <mergeCell ref="E9:F9"/>
    <mergeCell ref="B25:C25"/>
    <mergeCell ref="B29:C29"/>
    <mergeCell ref="A10:B10"/>
    <mergeCell ref="A13:G13"/>
    <mergeCell ref="C10:D10"/>
    <mergeCell ref="A11:B11"/>
    <mergeCell ref="E10:F10"/>
    <mergeCell ref="E25:G25"/>
    <mergeCell ref="E29:G29"/>
    <mergeCell ref="C11:G11"/>
    <mergeCell ref="E28:G28"/>
    <mergeCell ref="B28:C2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1" orientation="landscape" horizontalDpi="4294967292" verticalDpi="4294967295" r:id="rId1"/>
  <ignoredErrors>
    <ignoredError sqref="G9" unlocked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theme="9" tint="0.39997558519241921"/>
    <pageSetUpPr fitToPage="1"/>
  </sheetPr>
  <dimension ref="A1:G23"/>
  <sheetViews>
    <sheetView zoomScaleNormal="100" workbookViewId="0">
      <selection activeCell="A2" sqref="A2:G2"/>
    </sheetView>
  </sheetViews>
  <sheetFormatPr baseColWidth="10" defaultColWidth="10.85546875" defaultRowHeight="15"/>
  <cols>
    <col min="1" max="1" width="4.42578125" style="1" customWidth="1"/>
    <col min="2" max="2" width="26.140625" style="1" customWidth="1"/>
    <col min="3" max="3" width="23.140625" style="1" customWidth="1"/>
    <col min="4" max="4" width="19.5703125" style="1" customWidth="1"/>
    <col min="5" max="5" width="15.5703125" style="1" customWidth="1"/>
    <col min="6" max="6" width="18.7109375" style="1" customWidth="1"/>
    <col min="7" max="7" width="27" style="1" customWidth="1"/>
    <col min="8" max="16384" width="10.85546875" style="1"/>
  </cols>
  <sheetData>
    <row r="1" spans="1:7">
      <c r="A1" s="5"/>
      <c r="B1" s="5"/>
      <c r="C1" s="5"/>
      <c r="D1" s="5"/>
      <c r="E1" s="5"/>
      <c r="F1" s="5"/>
      <c r="G1" s="5"/>
    </row>
    <row r="2" spans="1:7" ht="20.25">
      <c r="A2" s="116" t="s">
        <v>44</v>
      </c>
      <c r="B2" s="116"/>
      <c r="C2" s="116"/>
      <c r="D2" s="116"/>
      <c r="E2" s="116"/>
      <c r="F2" s="116"/>
      <c r="G2" s="116"/>
    </row>
    <row r="3" spans="1:7" ht="23.1" customHeight="1">
      <c r="A3" s="5"/>
      <c r="B3" s="5"/>
      <c r="C3" s="5"/>
      <c r="D3" s="5"/>
      <c r="E3" s="5"/>
      <c r="F3" s="5"/>
      <c r="G3" s="5"/>
    </row>
    <row r="4" spans="1:7" s="14" customFormat="1" ht="35.1" customHeight="1">
      <c r="A4" s="100" t="s">
        <v>8</v>
      </c>
      <c r="B4" s="100"/>
      <c r="C4" s="117" t="s">
        <v>85</v>
      </c>
      <c r="D4" s="117"/>
      <c r="E4" s="54" t="str">
        <f>+'E2 - P2'!D4</f>
        <v>Valle de Chalco Solidaridad I</v>
      </c>
      <c r="F4" s="6" t="s">
        <v>78</v>
      </c>
      <c r="G4" s="52">
        <f>+'E2 - P2'!G4</f>
        <v>45670</v>
      </c>
    </row>
    <row r="5" spans="1:7" ht="26.45" customHeight="1">
      <c r="A5" s="100" t="s">
        <v>9</v>
      </c>
      <c r="B5" s="100"/>
      <c r="C5" s="16" t="s">
        <v>81</v>
      </c>
      <c r="D5" s="69" t="str">
        <f>+'E2 - P2'!D5:G5</f>
        <v>Luis Ernesto Domguinguez Espinoza</v>
      </c>
      <c r="E5" s="70"/>
      <c r="F5" s="70"/>
      <c r="G5" s="71"/>
    </row>
    <row r="6" spans="1:7">
      <c r="A6" s="5"/>
      <c r="B6" s="5"/>
      <c r="C6" s="5"/>
      <c r="D6" s="5"/>
      <c r="E6" s="5"/>
      <c r="F6" s="5"/>
      <c r="G6" s="5"/>
    </row>
    <row r="7" spans="1:7" s="15" customFormat="1" ht="27.95" customHeight="1">
      <c r="A7" s="17" t="s">
        <v>1</v>
      </c>
      <c r="B7" s="17" t="s">
        <v>2</v>
      </c>
      <c r="C7" s="17" t="s">
        <v>3</v>
      </c>
      <c r="D7" s="17" t="s">
        <v>4</v>
      </c>
      <c r="E7" s="17" t="s">
        <v>5</v>
      </c>
      <c r="F7" s="17" t="s">
        <v>6</v>
      </c>
      <c r="G7" s="17" t="s">
        <v>7</v>
      </c>
    </row>
    <row r="8" spans="1:7" ht="27" customHeight="1">
      <c r="A8" s="38">
        <v>1</v>
      </c>
      <c r="B8" s="57" t="s">
        <v>57</v>
      </c>
      <c r="C8" s="57" t="s">
        <v>92</v>
      </c>
      <c r="D8" s="57" t="s">
        <v>93</v>
      </c>
      <c r="E8" s="57" t="s">
        <v>66</v>
      </c>
      <c r="F8" s="57">
        <v>512</v>
      </c>
      <c r="G8" s="57" t="s">
        <v>94</v>
      </c>
    </row>
    <row r="9" spans="1:7" ht="27" customHeight="1">
      <c r="A9" s="38">
        <v>2</v>
      </c>
      <c r="B9" s="57" t="s">
        <v>59</v>
      </c>
      <c r="C9" s="58" t="s">
        <v>169</v>
      </c>
      <c r="D9" s="57" t="s">
        <v>96</v>
      </c>
      <c r="E9" s="57" t="s">
        <v>97</v>
      </c>
      <c r="F9" s="57" t="s">
        <v>67</v>
      </c>
      <c r="G9" s="57" t="s">
        <v>94</v>
      </c>
    </row>
    <row r="10" spans="1:7" ht="27" customHeight="1">
      <c r="A10" s="38">
        <v>3</v>
      </c>
      <c r="B10" s="57" t="s">
        <v>60</v>
      </c>
      <c r="C10" s="130" t="s">
        <v>170</v>
      </c>
      <c r="D10" s="57" t="s">
        <v>98</v>
      </c>
      <c r="E10" s="57" t="s">
        <v>97</v>
      </c>
      <c r="F10" s="57" t="s">
        <v>67</v>
      </c>
      <c r="G10" s="57" t="s">
        <v>94</v>
      </c>
    </row>
    <row r="11" spans="1:7" ht="40.5" customHeight="1">
      <c r="A11" s="38">
        <v>4</v>
      </c>
      <c r="B11" s="57" t="s">
        <v>58</v>
      </c>
      <c r="C11" s="57" t="s">
        <v>100</v>
      </c>
      <c r="D11" s="57" t="s">
        <v>101</v>
      </c>
      <c r="E11" s="57" t="s">
        <v>90</v>
      </c>
      <c r="F11" s="57" t="s">
        <v>113</v>
      </c>
      <c r="G11" s="57" t="s">
        <v>94</v>
      </c>
    </row>
    <row r="12" spans="1:7" ht="27" customHeight="1">
      <c r="A12" s="38">
        <v>5</v>
      </c>
      <c r="B12" s="57" t="s">
        <v>57</v>
      </c>
      <c r="C12" s="57" t="s">
        <v>102</v>
      </c>
      <c r="D12" s="57" t="s">
        <v>103</v>
      </c>
      <c r="E12" s="57" t="s">
        <v>66</v>
      </c>
      <c r="F12" s="57" t="s">
        <v>104</v>
      </c>
      <c r="G12" s="57" t="s">
        <v>105</v>
      </c>
    </row>
    <row r="13" spans="1:7" ht="27" customHeight="1">
      <c r="A13" s="57">
        <v>6</v>
      </c>
      <c r="B13" s="57" t="s">
        <v>59</v>
      </c>
      <c r="C13" s="57">
        <v>110117543775</v>
      </c>
      <c r="D13" s="57" t="s">
        <v>106</v>
      </c>
      <c r="E13" s="57" t="s">
        <v>107</v>
      </c>
      <c r="F13" s="57" t="s">
        <v>67</v>
      </c>
      <c r="G13" s="57" t="s">
        <v>94</v>
      </c>
    </row>
    <row r="14" spans="1:7" ht="27" customHeight="1">
      <c r="A14" s="57">
        <v>7</v>
      </c>
      <c r="B14" s="57" t="s">
        <v>60</v>
      </c>
      <c r="C14" s="39" t="s">
        <v>108</v>
      </c>
      <c r="D14" s="57" t="s">
        <v>109</v>
      </c>
      <c r="E14" s="57" t="s">
        <v>107</v>
      </c>
      <c r="F14" s="57" t="s">
        <v>67</v>
      </c>
      <c r="G14" s="57" t="s">
        <v>94</v>
      </c>
    </row>
    <row r="15" spans="1:7" ht="27" customHeight="1">
      <c r="A15" s="57">
        <v>8</v>
      </c>
      <c r="B15" s="57" t="s">
        <v>110</v>
      </c>
      <c r="C15" s="57" t="s">
        <v>111</v>
      </c>
      <c r="D15" s="57" t="s">
        <v>101</v>
      </c>
      <c r="E15" s="57" t="s">
        <v>112</v>
      </c>
      <c r="F15" s="57" t="s">
        <v>113</v>
      </c>
      <c r="G15" s="57" t="s">
        <v>105</v>
      </c>
    </row>
    <row r="16" spans="1:7" ht="27" customHeight="1">
      <c r="A16" s="57">
        <v>9</v>
      </c>
      <c r="B16" s="57" t="s">
        <v>167</v>
      </c>
      <c r="C16" s="57"/>
      <c r="D16" s="57"/>
      <c r="E16" s="57"/>
      <c r="F16" s="57"/>
      <c r="G16" s="57"/>
    </row>
    <row r="17" spans="1:7" ht="27" customHeight="1">
      <c r="A17" s="57">
        <v>10</v>
      </c>
      <c r="B17" s="57" t="s">
        <v>168</v>
      </c>
      <c r="C17" s="58"/>
      <c r="D17" s="57"/>
      <c r="E17" s="57"/>
      <c r="F17" s="57"/>
      <c r="G17" s="57"/>
    </row>
    <row r="18" spans="1:7">
      <c r="A18" s="5"/>
      <c r="B18" s="5"/>
      <c r="C18" s="5"/>
      <c r="D18" s="5"/>
      <c r="E18" s="5"/>
      <c r="F18" s="5"/>
      <c r="G18" s="5"/>
    </row>
    <row r="19" spans="1:7" ht="29.25" customHeight="1">
      <c r="A19" s="76" t="s">
        <v>10</v>
      </c>
      <c r="B19" s="76"/>
      <c r="C19" s="76"/>
      <c r="D19" s="76"/>
      <c r="E19" s="76"/>
      <c r="F19" s="76"/>
      <c r="G19" s="76"/>
    </row>
    <row r="20" spans="1:7">
      <c r="A20" s="5"/>
      <c r="B20" s="5"/>
      <c r="C20" s="5"/>
      <c r="D20" s="11"/>
      <c r="E20" s="11"/>
      <c r="F20" s="5"/>
      <c r="G20" s="5"/>
    </row>
    <row r="21" spans="1:7" ht="15" customHeight="1">
      <c r="A21" s="5"/>
      <c r="B21" s="5"/>
      <c r="C21" s="5"/>
      <c r="D21" s="13"/>
      <c r="E21" s="13"/>
      <c r="F21" s="5"/>
      <c r="G21" s="5"/>
    </row>
    <row r="22" spans="1:7">
      <c r="A22" s="114" t="str">
        <f>CONCATENATE(C5,"   ",D5)</f>
        <v>Técnico   Luis Ernesto Domguinguez Espinoza</v>
      </c>
      <c r="B22" s="114"/>
      <c r="C22" s="114"/>
      <c r="D22" s="114"/>
      <c r="E22" s="114"/>
      <c r="F22" s="114"/>
      <c r="G22" s="114"/>
    </row>
    <row r="23" spans="1:7">
      <c r="A23" s="115" t="s">
        <v>82</v>
      </c>
      <c r="B23" s="115"/>
      <c r="C23" s="115"/>
      <c r="D23" s="115"/>
      <c r="E23" s="115"/>
      <c r="F23" s="115"/>
      <c r="G23" s="115"/>
    </row>
  </sheetData>
  <sheetProtection algorithmName="SHA-512" hashValue="3JXMjrgMDJ0gETBOPyv6KKENu+wnW5Vt3dLFHeZGpjL3A3AO5YwWWDemxoVgtQY9QJnNSljhbZd0Ik60v8WhZg==" saltValue="w1U8W1zKVDluRKx8AFVumg==" spinCount="100000" sheet="1" objects="1" scenarios="1"/>
  <mergeCells count="8">
    <mergeCell ref="A22:G22"/>
    <mergeCell ref="A23:G23"/>
    <mergeCell ref="A2:G2"/>
    <mergeCell ref="A4:B4"/>
    <mergeCell ref="A5:B5"/>
    <mergeCell ref="D5:G5"/>
    <mergeCell ref="A19:G19"/>
    <mergeCell ref="C4:D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6" orientation="landscape" horizontalDpi="4294967295" verticalDpi="4294967295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9" tint="0.39997558519241921"/>
    <pageSetUpPr fitToPage="1"/>
  </sheetPr>
  <dimension ref="A1:G29"/>
  <sheetViews>
    <sheetView zoomScale="110" zoomScaleNormal="110" workbookViewId="0">
      <selection activeCell="B15" sqref="B15"/>
    </sheetView>
  </sheetViews>
  <sheetFormatPr baseColWidth="10" defaultColWidth="10.85546875" defaultRowHeight="15"/>
  <cols>
    <col min="1" max="1" width="7.140625" style="1" customWidth="1"/>
    <col min="2" max="2" width="25.28515625" style="1" customWidth="1"/>
    <col min="3" max="3" width="25.42578125" style="1" customWidth="1"/>
    <col min="4" max="4" width="23.140625" style="1" customWidth="1"/>
    <col min="5" max="5" width="20.85546875" style="1" customWidth="1"/>
    <col min="6" max="6" width="22.5703125" style="1" customWidth="1"/>
    <col min="7" max="7" width="21.28515625" style="1" customWidth="1"/>
    <col min="8" max="16384" width="10.85546875" style="1"/>
  </cols>
  <sheetData>
    <row r="1" spans="1:7">
      <c r="A1" s="5"/>
      <c r="B1" s="5"/>
      <c r="C1" s="5"/>
      <c r="D1" s="5"/>
      <c r="E1" s="5"/>
      <c r="F1" s="5"/>
      <c r="G1" s="5"/>
    </row>
    <row r="2" spans="1:7" ht="20.25">
      <c r="A2" s="119" t="s">
        <v>45</v>
      </c>
      <c r="B2" s="119"/>
      <c r="C2" s="119"/>
      <c r="D2" s="119"/>
      <c r="E2" s="119"/>
      <c r="F2" s="119"/>
      <c r="G2" s="119"/>
    </row>
    <row r="3" spans="1:7" ht="20.25">
      <c r="A3" s="119"/>
      <c r="B3" s="119"/>
      <c r="C3" s="119"/>
      <c r="D3" s="119"/>
      <c r="E3" s="119"/>
      <c r="F3" s="119"/>
      <c r="G3" s="119"/>
    </row>
    <row r="4" spans="1:7" s="2" customFormat="1" ht="41.45" customHeight="1">
      <c r="A4" s="75" t="s">
        <v>8</v>
      </c>
      <c r="B4" s="75"/>
      <c r="C4" s="122" t="s">
        <v>85</v>
      </c>
      <c r="D4" s="123"/>
      <c r="E4" s="54" t="str">
        <f>+'E2 - P3'!E4</f>
        <v>Valle de Chalco Solidaridad I</v>
      </c>
      <c r="F4" s="6" t="s">
        <v>78</v>
      </c>
      <c r="G4" s="52">
        <f>+'E2 - P3'!G4</f>
        <v>45670</v>
      </c>
    </row>
    <row r="5" spans="1:7" ht="26.45" customHeight="1">
      <c r="A5" s="63" t="s">
        <v>9</v>
      </c>
      <c r="B5" s="63"/>
      <c r="C5" s="7" t="s">
        <v>80</v>
      </c>
      <c r="D5" s="69" t="str">
        <f>+'E2 - P3'!D5:G5</f>
        <v>Luis Ernesto Domguinguez Espinoza</v>
      </c>
      <c r="E5" s="70"/>
      <c r="F5" s="70"/>
      <c r="G5" s="71"/>
    </row>
    <row r="6" spans="1:7">
      <c r="A6" s="5"/>
      <c r="B6" s="5"/>
      <c r="C6" s="5"/>
      <c r="D6" s="5"/>
      <c r="E6" s="5"/>
      <c r="F6" s="5"/>
      <c r="G6" s="5"/>
    </row>
    <row r="7" spans="1:7" ht="15" customHeight="1">
      <c r="A7" s="75" t="s">
        <v>56</v>
      </c>
      <c r="B7" s="75"/>
      <c r="C7" s="120" t="s">
        <v>79</v>
      </c>
      <c r="D7" s="121"/>
      <c r="E7" s="121"/>
      <c r="F7" s="121"/>
      <c r="G7" s="121"/>
    </row>
    <row r="8" spans="1:7">
      <c r="A8" s="75"/>
      <c r="B8" s="75"/>
      <c r="C8" s="121"/>
      <c r="D8" s="121"/>
      <c r="E8" s="121"/>
      <c r="F8" s="121"/>
      <c r="G8" s="121"/>
    </row>
    <row r="9" spans="1:7">
      <c r="A9" s="75"/>
      <c r="B9" s="75"/>
      <c r="C9" s="121"/>
      <c r="D9" s="121"/>
      <c r="E9" s="121"/>
      <c r="F9" s="121"/>
      <c r="G9" s="121"/>
    </row>
    <row r="10" spans="1:7">
      <c r="A10" s="75"/>
      <c r="B10" s="75"/>
      <c r="C10" s="121"/>
      <c r="D10" s="121"/>
      <c r="E10" s="121"/>
      <c r="F10" s="121"/>
      <c r="G10" s="121"/>
    </row>
    <row r="11" spans="1:7">
      <c r="A11" s="75"/>
      <c r="B11" s="75"/>
      <c r="C11" s="121"/>
      <c r="D11" s="121"/>
      <c r="E11" s="121"/>
      <c r="F11" s="121"/>
      <c r="G11" s="121"/>
    </row>
    <row r="12" spans="1:7">
      <c r="A12" s="75"/>
      <c r="B12" s="75"/>
      <c r="C12" s="121"/>
      <c r="D12" s="121"/>
      <c r="E12" s="121"/>
      <c r="F12" s="121"/>
      <c r="G12" s="121"/>
    </row>
    <row r="13" spans="1:7">
      <c r="A13" s="5"/>
      <c r="B13" s="5"/>
      <c r="C13" s="5"/>
      <c r="D13" s="5"/>
      <c r="E13" s="5"/>
      <c r="F13" s="5"/>
      <c r="G13" s="5"/>
    </row>
    <row r="14" spans="1:7" s="3" customFormat="1" ht="30">
      <c r="A14" s="8" t="s">
        <v>0</v>
      </c>
      <c r="B14" s="8" t="s">
        <v>49</v>
      </c>
      <c r="C14" s="9" t="s">
        <v>50</v>
      </c>
      <c r="D14" s="9" t="s">
        <v>13</v>
      </c>
      <c r="E14" s="8" t="s">
        <v>14</v>
      </c>
      <c r="F14" s="8" t="s">
        <v>51</v>
      </c>
      <c r="G14" s="8" t="s">
        <v>15</v>
      </c>
    </row>
    <row r="15" spans="1:7" ht="27" customHeight="1">
      <c r="A15" s="44">
        <v>1</v>
      </c>
      <c r="B15" s="44" t="s">
        <v>122</v>
      </c>
      <c r="C15" s="44" t="s">
        <v>121</v>
      </c>
      <c r="D15" s="38" t="s">
        <v>125</v>
      </c>
      <c r="E15" s="44" t="s">
        <v>61</v>
      </c>
      <c r="F15" s="44" t="s">
        <v>62</v>
      </c>
      <c r="G15" s="44" t="s">
        <v>63</v>
      </c>
    </row>
    <row r="16" spans="1:7" ht="27" customHeight="1">
      <c r="A16" s="44">
        <v>2</v>
      </c>
      <c r="B16" s="44" t="s">
        <v>123</v>
      </c>
      <c r="C16" s="44" t="s">
        <v>121</v>
      </c>
      <c r="D16" s="38" t="s">
        <v>126</v>
      </c>
      <c r="E16" s="44" t="s">
        <v>61</v>
      </c>
      <c r="F16" s="44" t="s">
        <v>128</v>
      </c>
      <c r="G16" s="44" t="s">
        <v>63</v>
      </c>
    </row>
    <row r="17" spans="1:7" ht="27" customHeight="1">
      <c r="A17" s="44">
        <v>3</v>
      </c>
      <c r="B17" s="44" t="s">
        <v>124</v>
      </c>
      <c r="C17" s="44" t="s">
        <v>121</v>
      </c>
      <c r="D17" s="38" t="s">
        <v>127</v>
      </c>
      <c r="E17" s="44" t="s">
        <v>61</v>
      </c>
      <c r="F17" s="44" t="s">
        <v>129</v>
      </c>
      <c r="G17" s="44" t="s">
        <v>63</v>
      </c>
    </row>
    <row r="18" spans="1:7" ht="27" customHeight="1">
      <c r="A18" s="44"/>
      <c r="B18" s="44"/>
      <c r="C18" s="44"/>
      <c r="D18" s="44"/>
      <c r="E18" s="44"/>
      <c r="F18" s="44"/>
      <c r="G18" s="44"/>
    </row>
    <row r="19" spans="1:7" ht="27" customHeight="1">
      <c r="A19" s="47"/>
      <c r="B19" s="47"/>
      <c r="C19" s="47"/>
      <c r="D19" s="47"/>
      <c r="E19" s="47"/>
      <c r="F19" s="47"/>
      <c r="G19" s="47"/>
    </row>
    <row r="20" spans="1:7" ht="27" customHeight="1">
      <c r="A20" s="47"/>
      <c r="B20" s="47"/>
      <c r="C20" s="47"/>
      <c r="D20" s="47"/>
      <c r="E20" s="47"/>
      <c r="F20" s="47"/>
      <c r="G20" s="47"/>
    </row>
    <row r="21" spans="1:7" ht="27" customHeight="1">
      <c r="A21" s="47"/>
      <c r="B21" s="47"/>
      <c r="C21" s="47"/>
      <c r="D21" s="47"/>
      <c r="E21" s="47"/>
      <c r="F21" s="47"/>
      <c r="G21" s="47"/>
    </row>
    <row r="22" spans="1:7">
      <c r="A22" s="5"/>
      <c r="B22" s="5"/>
      <c r="C22" s="5"/>
      <c r="D22" s="5"/>
      <c r="E22" s="5"/>
      <c r="F22" s="5"/>
      <c r="G22" s="5"/>
    </row>
    <row r="23" spans="1:7" ht="15" customHeight="1">
      <c r="A23" s="118" t="s">
        <v>16</v>
      </c>
      <c r="B23" s="118"/>
      <c r="C23" s="118"/>
      <c r="D23" s="118"/>
      <c r="E23" s="118"/>
      <c r="F23" s="118"/>
      <c r="G23" s="118"/>
    </row>
    <row r="24" spans="1:7">
      <c r="A24" s="5"/>
      <c r="B24" s="10"/>
      <c r="C24" s="11"/>
      <c r="D24" s="12"/>
      <c r="E24" s="13"/>
      <c r="F24" s="5"/>
      <c r="G24" s="5"/>
    </row>
    <row r="25" spans="1:7">
      <c r="A25" s="5"/>
      <c r="B25" s="10"/>
      <c r="C25" s="11"/>
      <c r="D25" s="11"/>
      <c r="E25" s="13"/>
      <c r="F25" s="5"/>
      <c r="G25" s="5"/>
    </row>
    <row r="26" spans="1:7">
      <c r="A26" s="5"/>
      <c r="B26" s="5"/>
      <c r="C26" s="13"/>
      <c r="D26" s="13"/>
      <c r="E26" s="13"/>
      <c r="F26" s="5"/>
      <c r="G26" s="5"/>
    </row>
    <row r="27" spans="1:7">
      <c r="A27" s="114" t="str">
        <f>CONCATENATE(C5,D5)</f>
        <v>Técnico    Luis Ernesto Domguinguez Espinoza</v>
      </c>
      <c r="B27" s="114"/>
      <c r="C27" s="114"/>
      <c r="D27" s="114"/>
      <c r="E27" s="114"/>
      <c r="F27" s="114"/>
      <c r="G27" s="114"/>
    </row>
    <row r="28" spans="1:7">
      <c r="A28" s="115" t="s">
        <v>82</v>
      </c>
      <c r="B28" s="115"/>
      <c r="C28" s="115"/>
      <c r="D28" s="115"/>
      <c r="E28" s="115"/>
      <c r="F28" s="115"/>
      <c r="G28" s="115"/>
    </row>
    <row r="29" spans="1:7">
      <c r="C29" s="4"/>
      <c r="D29" s="4"/>
      <c r="E29" s="4"/>
    </row>
  </sheetData>
  <sheetProtection algorithmName="SHA-512" hashValue="ppz4avotXOcXuPh3XfSLUTnhITKyaDn103AnNcMXZhXDlJ1temLw2G0As7xyRXJ0+pBV+PaQtxv3pB98oItANQ==" saltValue="DUTpwys7zx3Wvwnx16lmtg==" spinCount="100000" sheet="1" objects="1" scenarios="1"/>
  <mergeCells count="11">
    <mergeCell ref="A27:G27"/>
    <mergeCell ref="A28:G28"/>
    <mergeCell ref="D5:G5"/>
    <mergeCell ref="A23:G23"/>
    <mergeCell ref="A2:G2"/>
    <mergeCell ref="A7:B12"/>
    <mergeCell ref="C7:G12"/>
    <mergeCell ref="A3:G3"/>
    <mergeCell ref="A4:B4"/>
    <mergeCell ref="A5:B5"/>
    <mergeCell ref="C4:D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2" orientation="landscape" horizontalDpi="4294967295" verticalDpi="4294967295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theme="9" tint="0.39997558519241921"/>
    <pageSetUpPr fitToPage="1"/>
  </sheetPr>
  <dimension ref="A1:G21"/>
  <sheetViews>
    <sheetView tabSelected="1" zoomScaleNormal="100" workbookViewId="0">
      <selection activeCell="J10" sqref="J10"/>
    </sheetView>
  </sheetViews>
  <sheetFormatPr baseColWidth="10" defaultColWidth="10.85546875" defaultRowHeight="15"/>
  <cols>
    <col min="1" max="1" width="8.85546875" style="1" customWidth="1"/>
    <col min="2" max="2" width="19.7109375" style="1" customWidth="1"/>
    <col min="3" max="4" width="45.85546875" style="1" customWidth="1"/>
    <col min="5" max="5" width="25" style="1" customWidth="1"/>
    <col min="6" max="6" width="4.7109375" style="1" customWidth="1"/>
    <col min="7" max="16384" width="10.85546875" style="1"/>
  </cols>
  <sheetData>
    <row r="1" spans="1:7">
      <c r="A1" s="5"/>
      <c r="B1" s="5"/>
      <c r="C1" s="5"/>
      <c r="D1" s="5"/>
      <c r="E1" s="5"/>
      <c r="F1" s="5"/>
    </row>
    <row r="2" spans="1:7" ht="24.95" customHeight="1">
      <c r="A2" s="119" t="s">
        <v>46</v>
      </c>
      <c r="B2" s="119"/>
      <c r="C2" s="119"/>
      <c r="D2" s="119"/>
      <c r="E2" s="119"/>
      <c r="F2" s="5"/>
    </row>
    <row r="3" spans="1:7" ht="20.25">
      <c r="A3" s="119"/>
      <c r="B3" s="119"/>
      <c r="C3" s="119"/>
      <c r="D3" s="119"/>
      <c r="E3" s="119"/>
      <c r="F3" s="5"/>
    </row>
    <row r="4" spans="1:7" s="14" customFormat="1" ht="55.5" customHeight="1">
      <c r="A4" s="125" t="s">
        <v>8</v>
      </c>
      <c r="B4" s="126"/>
      <c r="C4" s="50" t="s">
        <v>89</v>
      </c>
      <c r="D4" s="51" t="str">
        <f>+'E2 - P4'!E4</f>
        <v>Valle de Chalco Solidaridad I</v>
      </c>
      <c r="E4" s="9" t="s">
        <v>78</v>
      </c>
    </row>
    <row r="5" spans="1:7" ht="30.95" customHeight="1">
      <c r="A5" s="125" t="s">
        <v>9</v>
      </c>
      <c r="B5" s="126"/>
      <c r="C5" s="16" t="s">
        <v>81</v>
      </c>
      <c r="D5" s="53" t="str">
        <f>+'E2 - P4'!D5</f>
        <v>Luis Ernesto Domguinguez Espinoza</v>
      </c>
      <c r="E5" s="52">
        <f>+'E2 - P4'!G4</f>
        <v>45670</v>
      </c>
      <c r="F5" s="14"/>
      <c r="G5" s="14"/>
    </row>
    <row r="6" spans="1:7">
      <c r="A6" s="5"/>
      <c r="B6" s="5"/>
      <c r="C6" s="5"/>
      <c r="D6" s="5"/>
      <c r="E6" s="5"/>
    </row>
    <row r="7" spans="1:7" s="15" customFormat="1" ht="27.95" customHeight="1">
      <c r="A7" s="17" t="s">
        <v>0</v>
      </c>
      <c r="B7" s="17" t="s">
        <v>11</v>
      </c>
      <c r="C7" s="127" t="s">
        <v>12</v>
      </c>
      <c r="D7" s="128"/>
      <c r="E7" s="17" t="s">
        <v>20</v>
      </c>
    </row>
    <row r="8" spans="1:7" ht="27" customHeight="1">
      <c r="A8" s="38">
        <v>1</v>
      </c>
      <c r="B8" s="38" t="s">
        <v>122</v>
      </c>
      <c r="C8" s="106" t="s">
        <v>121</v>
      </c>
      <c r="D8" s="107"/>
      <c r="E8" s="38" t="s">
        <v>125</v>
      </c>
    </row>
    <row r="9" spans="1:7" ht="27" customHeight="1">
      <c r="A9" s="38">
        <v>2</v>
      </c>
      <c r="B9" s="38" t="s">
        <v>123</v>
      </c>
      <c r="C9" s="106" t="s">
        <v>121</v>
      </c>
      <c r="D9" s="107"/>
      <c r="E9" s="38" t="s">
        <v>126</v>
      </c>
    </row>
    <row r="10" spans="1:7" ht="27" customHeight="1">
      <c r="A10" s="38">
        <v>3</v>
      </c>
      <c r="B10" s="38" t="s">
        <v>124</v>
      </c>
      <c r="C10" s="106" t="s">
        <v>121</v>
      </c>
      <c r="D10" s="107"/>
      <c r="E10" s="38" t="s">
        <v>127</v>
      </c>
    </row>
    <row r="11" spans="1:7" ht="27" customHeight="1">
      <c r="A11" s="38"/>
      <c r="B11" s="38"/>
      <c r="C11" s="106"/>
      <c r="D11" s="107"/>
      <c r="E11" s="19"/>
    </row>
    <row r="12" spans="1:7">
      <c r="A12" s="5"/>
      <c r="B12" s="5"/>
      <c r="C12" s="5"/>
      <c r="D12" s="5"/>
      <c r="E12" s="5"/>
      <c r="F12" s="5"/>
    </row>
    <row r="13" spans="1:7" ht="15" customHeight="1">
      <c r="A13" s="129" t="s">
        <v>16</v>
      </c>
      <c r="B13" s="129"/>
      <c r="C13" s="129"/>
      <c r="D13" s="129"/>
      <c r="E13" s="129"/>
      <c r="F13" s="129"/>
      <c r="G13" s="129"/>
    </row>
    <row r="14" spans="1:7">
      <c r="A14" s="28"/>
      <c r="B14" s="28"/>
      <c r="C14" s="28"/>
      <c r="D14" s="28"/>
      <c r="E14" s="28"/>
      <c r="F14" s="28"/>
    </row>
    <row r="15" spans="1:7">
      <c r="A15" s="5"/>
      <c r="B15" s="5"/>
      <c r="C15" s="10"/>
      <c r="D15" s="10"/>
      <c r="E15" s="10"/>
      <c r="F15" s="5"/>
    </row>
    <row r="16" spans="1:7" ht="13.5" customHeight="1">
      <c r="A16" s="114"/>
      <c r="B16" s="114"/>
      <c r="C16" s="114"/>
      <c r="D16" s="114"/>
      <c r="E16" s="114"/>
      <c r="F16" s="114"/>
    </row>
    <row r="17" spans="1:7" ht="15" customHeight="1">
      <c r="A17" s="76"/>
      <c r="B17" s="76"/>
      <c r="C17" s="76"/>
      <c r="D17" s="76"/>
      <c r="E17" s="76"/>
      <c r="F17" s="76"/>
    </row>
    <row r="18" spans="1:7">
      <c r="A18" s="76"/>
      <c r="B18" s="76"/>
      <c r="C18" s="76"/>
      <c r="D18" s="76"/>
      <c r="E18" s="76"/>
      <c r="F18" s="76"/>
    </row>
    <row r="20" spans="1:7">
      <c r="A20" s="114" t="str">
        <f>CONCATENATE(C5," ",D5)</f>
        <v>Técnico Luis Ernesto Domguinguez Espinoza</v>
      </c>
      <c r="B20" s="114"/>
      <c r="C20" s="114"/>
      <c r="D20" s="114"/>
      <c r="E20" s="114"/>
      <c r="F20" s="114"/>
      <c r="G20" s="114"/>
    </row>
    <row r="21" spans="1:7">
      <c r="A21" s="124" t="s">
        <v>82</v>
      </c>
      <c r="B21" s="124"/>
      <c r="C21" s="124"/>
      <c r="D21" s="124"/>
      <c r="E21" s="124"/>
      <c r="F21" s="124"/>
      <c r="G21" s="124"/>
    </row>
  </sheetData>
  <sheetProtection algorithmName="SHA-512" hashValue="MiAxpEwAQCpi0KTrwVMnGMLI5eoYpP9Xl+vvZfcjV3H5BXlowmCL09X1pc1jh6VAcaz3Kwv9grlBxhts0gsNMA==" saltValue="KWpv98UKgYuUmEp45pQRXQ==" spinCount="100000" sheet="1" objects="1" scenarios="1"/>
  <mergeCells count="14">
    <mergeCell ref="A4:B4"/>
    <mergeCell ref="A5:B5"/>
    <mergeCell ref="A16:F16"/>
    <mergeCell ref="A2:E2"/>
    <mergeCell ref="A3:E3"/>
    <mergeCell ref="C7:D7"/>
    <mergeCell ref="C8:D8"/>
    <mergeCell ref="A13:G13"/>
    <mergeCell ref="A20:G20"/>
    <mergeCell ref="A21:G21"/>
    <mergeCell ref="A17:F18"/>
    <mergeCell ref="C9:D9"/>
    <mergeCell ref="C10:D10"/>
    <mergeCell ref="C11:D11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scale="69" orientation="landscape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E1 - P1</vt:lpstr>
      <vt:lpstr>E1 - P2</vt:lpstr>
      <vt:lpstr>E1 - P3</vt:lpstr>
      <vt:lpstr>E2 - P1</vt:lpstr>
      <vt:lpstr>E2 - P2</vt:lpstr>
      <vt:lpstr>E2 - P3</vt:lpstr>
      <vt:lpstr>E2 - P4</vt:lpstr>
      <vt:lpstr>E2 - P5</vt:lpstr>
      <vt:lpstr>'E1 - P3'!Área_de_impresión</vt:lpstr>
      <vt:lpstr>'E2 - P1'!Área_de_impresión</vt:lpstr>
      <vt:lpstr>'E2 - P4'!Área_de_impresión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Gisela Baena</dc:creator>
  <cp:lastModifiedBy>ALUMNOS</cp:lastModifiedBy>
  <cp:lastPrinted>2024-04-08T17:14:37Z</cp:lastPrinted>
  <dcterms:created xsi:type="dcterms:W3CDTF">2022-06-08T19:12:01Z</dcterms:created>
  <dcterms:modified xsi:type="dcterms:W3CDTF">2024-12-06T01:45:20Z</dcterms:modified>
</cp:coreProperties>
</file>